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imo/Library/Mobile Documents/com~apple~CloudDocs/CNI/3.Project Plan/"/>
    </mc:Choice>
  </mc:AlternateContent>
  <xr:revisionPtr revIDLastSave="0" documentId="8_{85568BFF-1D99-C544-AA8C-26DD10BC81D0}" xr6:coauthVersionLast="47" xr6:coauthVersionMax="47" xr10:uidLastSave="{00000000-0000-0000-0000-000000000000}"/>
  <bookViews>
    <workbookView xWindow="29400" yWindow="0" windowWidth="38400" windowHeight="21600" tabRatio="500" activeTab="4" xr2:uid="{00000000-000D-0000-FFFF-FFFF00000000}"/>
  </bookViews>
  <sheets>
    <sheet name="Project Overview" sheetId="1" r:id="rId1"/>
    <sheet name="Gantt Chart" sheetId="2" r:id="rId2"/>
    <sheet name="Detailed Task Plan" sheetId="3" r:id="rId3"/>
    <sheet name="Deliverables &amp; Milestones" sheetId="5" r:id="rId4"/>
    <sheet name="Risk Register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5" l="1"/>
  <c r="C7" i="5"/>
  <c r="C6" i="5"/>
  <c r="C4" i="5"/>
  <c r="C5" i="5"/>
  <c r="M39" i="3"/>
  <c r="M40" i="3"/>
  <c r="M41" i="3"/>
  <c r="M42" i="3"/>
  <c r="M43" i="3"/>
  <c r="M18" i="3"/>
  <c r="M7" i="3"/>
  <c r="M5" i="3"/>
  <c r="M13" i="3"/>
  <c r="M28" i="3"/>
  <c r="M32" i="3"/>
  <c r="C21" i="1"/>
  <c r="H44" i="3"/>
  <c r="C16" i="1" s="1"/>
  <c r="G44" i="3"/>
  <c r="C15" i="1" s="1"/>
  <c r="F44" i="3"/>
  <c r="M8" i="3"/>
  <c r="M6" i="3"/>
  <c r="I44" i="3"/>
  <c r="J44" i="3"/>
  <c r="K44" i="3"/>
  <c r="L44" i="3"/>
  <c r="C20" i="1" s="1"/>
  <c r="C19" i="1"/>
  <c r="C18" i="1"/>
  <c r="C17" i="1"/>
  <c r="C11" i="1"/>
  <c r="C10" i="1"/>
  <c r="C9" i="1"/>
  <c r="C8" i="1"/>
  <c r="C7" i="1"/>
  <c r="C6" i="1"/>
  <c r="C5" i="1"/>
  <c r="K20" i="3"/>
  <c r="K21" i="3"/>
  <c r="K22" i="3"/>
  <c r="K23" i="3"/>
  <c r="K24" i="3"/>
  <c r="K25" i="3"/>
  <c r="K26" i="3"/>
  <c r="K27" i="3"/>
  <c r="K19" i="3"/>
  <c r="F7" i="3"/>
  <c r="F39" i="3"/>
  <c r="G32" i="3"/>
  <c r="G37" i="3"/>
  <c r="H37" i="3"/>
  <c r="I37" i="3"/>
  <c r="J37" i="3"/>
  <c r="K37" i="3"/>
  <c r="L37" i="3"/>
  <c r="H32" i="3"/>
  <c r="I32" i="3"/>
  <c r="J32" i="3"/>
  <c r="K32" i="3"/>
  <c r="L32" i="3"/>
  <c r="G28" i="3"/>
  <c r="J28" i="3"/>
  <c r="K28" i="3"/>
  <c r="G18" i="3"/>
  <c r="H18" i="3"/>
  <c r="I18" i="3"/>
  <c r="J18" i="3"/>
  <c r="K18" i="3"/>
  <c r="L18" i="3"/>
  <c r="G7" i="3"/>
  <c r="H7" i="3"/>
  <c r="I7" i="3"/>
  <c r="J7" i="3"/>
  <c r="K7" i="3"/>
  <c r="L7" i="3"/>
  <c r="G13" i="3"/>
  <c r="H13" i="3"/>
  <c r="I13" i="3"/>
  <c r="J13" i="3"/>
  <c r="K13" i="3"/>
  <c r="L13" i="3"/>
  <c r="M9" i="3"/>
  <c r="M10" i="3"/>
  <c r="M11" i="3"/>
  <c r="M12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33" i="3"/>
  <c r="M34" i="3"/>
  <c r="M35" i="3"/>
  <c r="M36" i="3"/>
  <c r="M38" i="3"/>
  <c r="F30" i="3"/>
  <c r="F43" i="3"/>
  <c r="F8" i="3"/>
  <c r="F9" i="3"/>
  <c r="F10" i="3"/>
  <c r="F11" i="3"/>
  <c r="F12" i="3"/>
  <c r="F14" i="3"/>
  <c r="F15" i="3"/>
  <c r="F16" i="3"/>
  <c r="F17" i="3"/>
  <c r="F19" i="3"/>
  <c r="F20" i="3"/>
  <c r="F21" i="3"/>
  <c r="F22" i="3"/>
  <c r="F23" i="3"/>
  <c r="F24" i="3"/>
  <c r="F25" i="3"/>
  <c r="F26" i="3"/>
  <c r="F27" i="3"/>
  <c r="F29" i="3"/>
  <c r="F31" i="3"/>
  <c r="F33" i="3"/>
  <c r="F34" i="3"/>
  <c r="F35" i="3"/>
  <c r="F36" i="3"/>
  <c r="F38" i="3"/>
  <c r="F40" i="3"/>
  <c r="F41" i="3"/>
  <c r="F42" i="3"/>
  <c r="F6" i="3"/>
  <c r="F5" i="3" s="1"/>
  <c r="M37" i="3" l="1"/>
  <c r="M44" i="3"/>
  <c r="I30" i="3"/>
  <c r="L30" i="3"/>
  <c r="H30" i="3"/>
  <c r="M30" i="3" s="1"/>
  <c r="I29" i="3"/>
  <c r="H29" i="3"/>
  <c r="L29" i="3"/>
  <c r="I31" i="3"/>
  <c r="H31" i="3"/>
  <c r="L31" i="3"/>
  <c r="F13" i="3"/>
  <c r="F18" i="3"/>
  <c r="F28" i="3"/>
  <c r="F37" i="3"/>
  <c r="F32" i="3"/>
  <c r="L28" i="3" l="1"/>
  <c r="M29" i="3"/>
  <c r="I28" i="3"/>
  <c r="M31" i="3"/>
  <c r="H28" i="3"/>
</calcChain>
</file>

<file path=xl/sharedStrings.xml><?xml version="1.0" encoding="utf-8"?>
<sst xmlns="http://schemas.openxmlformats.org/spreadsheetml/2006/main" count="585" uniqueCount="253">
  <si>
    <t>PROJECT PLAN — CNI Lost &amp; Found Management System</t>
  </si>
  <si>
    <t>ระยะเวลา: 3 มิ.ย. – 1 ธ.ค. 2568  (182 วันปฏิทิน / 130 วันทำการ)  |  ไม่รวมวันเสาร์–อาทิตย์  |  Client: CNI</t>
  </si>
  <si>
    <t>Phase</t>
  </si>
  <si>
    <t>ช่วงเวลา</t>
  </si>
  <si>
    <t>วันทำการ</t>
  </si>
  <si>
    <t>งานหลัก</t>
  </si>
  <si>
    <t>Kick-Off</t>
  </si>
  <si>
    <t>3–5 มิ.ย.</t>
  </si>
  <si>
    <t>Kick-Off Meeting, Project Charter</t>
  </si>
  <si>
    <t>Requirement</t>
  </si>
  <si>
    <t>BRD, SRS, Use Case, ER Diagram, Data Flow Diagram</t>
  </si>
  <si>
    <t>Design</t>
  </si>
  <si>
    <t>Wireframe, Design System, Hi-fi Prototype, Sign-off</t>
  </si>
  <si>
    <t>Development</t>
  </si>
  <si>
    <t>Testing</t>
  </si>
  <si>
    <t>Unit Test, Integration Test (RFID E2E), Performance &amp; Security Test</t>
  </si>
  <si>
    <t>UAT</t>
  </si>
  <si>
    <t>Usability Test, UAT กับ CNI Staff ทุก Role, Bug Fix, Sign-off</t>
  </si>
  <si>
    <t>Go-Live</t>
  </si>
  <si>
    <t>MAN-DAY SUMMARY BY ROLE  (วันทำการ ไม่รวม เสาร์–อาทิตย์)</t>
  </si>
  <si>
    <t>Role</t>
  </si>
  <si>
    <t>ชื่อย่อ</t>
  </si>
  <si>
    <t>Man-Days รวม</t>
  </si>
  <si>
    <t>Phase หลัก</t>
  </si>
  <si>
    <t>หน้าที่หลัก</t>
  </si>
  <si>
    <t>Project Manager</t>
  </si>
  <si>
    <t>PM</t>
  </si>
  <si>
    <t>ทุก Phase</t>
  </si>
  <si>
    <t>บริหารโครงการ, ควบคุม Timeline/Scope/Risk, ประสานงาน CNI, Status Report</t>
  </si>
  <si>
    <t>Business Analyst</t>
  </si>
  <si>
    <t>BA</t>
  </si>
  <si>
    <t>Req, Design, UAT, Go-Live</t>
  </si>
  <si>
    <t>Business Process Analysis, BRD, Acceptance Criteria, UAT Support</t>
  </si>
  <si>
    <t>System Analyst</t>
  </si>
  <si>
    <t>SA</t>
  </si>
  <si>
    <t>Req, Design, Dev, UAT</t>
  </si>
  <si>
    <t>SRS, Use Case, ER Diagram, Data Model, ตอบ Dev เรื่อง Business Logic</t>
  </si>
  <si>
    <t>UX/UI Designer</t>
  </si>
  <si>
    <t>UX/UI</t>
  </si>
  <si>
    <t>Design, Dev, UAT</t>
  </si>
  <si>
    <t>Wireframe, Design System, Hi-fi Prototype (Figma), UI Review ทุก Sprint, Usability Testing</t>
  </si>
  <si>
    <t>Developer</t>
  </si>
  <si>
    <t>Dev</t>
  </si>
  <si>
    <t>Dev, Testing, Go-Live</t>
  </si>
  <si>
    <t>พัฒนาทุก Module (Frontend+Backend), RFID Integration, Unit Test, Deploy</t>
  </si>
  <si>
    <t>QA Engineer</t>
  </si>
  <si>
    <t>QA</t>
  </si>
  <si>
    <t>Testing, UAT</t>
  </si>
  <si>
    <t>Test Case, Unit/Integration/Performance Test, Defect Management</t>
  </si>
  <si>
    <t>GRAND TOTAL MAN-DAYS</t>
  </si>
  <si>
    <t>#</t>
  </si>
  <si>
    <t>Task / งาน</t>
  </si>
  <si>
    <t>Kick-Off Meeting &amp; Project Charter</t>
  </si>
  <si>
    <t>Business Process Workshop (As-Is / To-Be)</t>
  </si>
  <si>
    <t>จัดทำ Business Requirements Document (BRD)</t>
  </si>
  <si>
    <t>จัดทำ System Requirements Spec (SRS) + Use Case</t>
  </si>
  <si>
    <t>จัดทำ ER Diagram + Data Flow Diagram</t>
  </si>
  <si>
    <t>Design System (Color, Typography, Components)</t>
  </si>
  <si>
    <t>Hi-fi Prototype ทุกหน้า Responsive (PC/Tablet/Mobile)</t>
  </si>
  <si>
    <t>Requirement + Design Sign-off (CNI)</t>
  </si>
  <si>
    <t>System Architecture + DB Schema Design</t>
  </si>
  <si>
    <t>Dev Environment + CI/CD + Staging Setup</t>
  </si>
  <si>
    <t>Module: Lost Report (Frontend + Backend API)</t>
  </si>
  <si>
    <t>Module: Found Report + RFID Integration</t>
  </si>
  <si>
    <t>Module: Search &amp; Match (Rule-based Scoring)</t>
  </si>
  <si>
    <t>Module: Property Management + Status Flow</t>
  </si>
  <si>
    <t>Module: Report &amp; Statistics + Export</t>
  </si>
  <si>
    <t>Dashboard &amp; Analytics (Hotspot Heatmap)</t>
  </si>
  <si>
    <t>Integration Test (API + RFID End-to-End)</t>
  </si>
  <si>
    <t>Performance &amp; Security Test</t>
  </si>
  <si>
    <t>จัดทำ UAT Test Case + Scenario</t>
  </si>
  <si>
    <t>UAT กับเจ้าหน้าที่ CNI (L&amp;F Officer, Supervisor, Admin)</t>
  </si>
  <si>
    <t>Bug Fix + Regression Test</t>
  </si>
  <si>
    <t>UAT Sign-off</t>
  </si>
  <si>
    <t>จัดทำ User Manual ภาษาไทย (ทุก Role)</t>
  </si>
  <si>
    <t>บันทึก Video การอบรมการใช้งานระบบ</t>
  </si>
  <si>
    <t>อบรมผู้ใช้งาน (L&amp;F Officer, Supervisor, Admin)</t>
  </si>
  <si>
    <t>Deploy Production + RFID Configuration</t>
  </si>
  <si>
    <t>Go-Live &amp; Hypercare Support (2 สัปดาห์)</t>
  </si>
  <si>
    <t>Detailed Task Plan — CNI Lost &amp; Found System</t>
  </si>
  <si>
    <t>เริ่มต้น</t>
  </si>
  <si>
    <t>สิ้นสุด</t>
  </si>
  <si>
    <t>PM
MD</t>
  </si>
  <si>
    <t>BA
MD</t>
  </si>
  <si>
    <t>SA
MD</t>
  </si>
  <si>
    <t>UX/UI
MD</t>
  </si>
  <si>
    <t>Dev
MD</t>
  </si>
  <si>
    <t>QA
MD</t>
  </si>
  <si>
    <t>รวม
MD</t>
  </si>
  <si>
    <t>Priority</t>
  </si>
  <si>
    <t>Status</t>
  </si>
  <si>
    <t>Dependencies</t>
  </si>
  <si>
    <t>หมายเหตุ</t>
  </si>
  <si>
    <t>–</t>
  </si>
  <si>
    <t>High</t>
  </si>
  <si>
    <t>Not Started</t>
  </si>
  <si>
    <t>-</t>
  </si>
  <si>
    <t>ชี้แจง TOR, Scope, Timeline, ผู้รับผิดชอบ, วาง Ground Rule</t>
  </si>
  <si>
    <t>Task 1</t>
  </si>
  <si>
    <t>BA นำ Workshop กับ CNI, จัดทำ Process Flow ทุก Module</t>
  </si>
  <si>
    <t>SA + HW ระบุ Reader Location, Network Point, Sticker Type</t>
  </si>
  <si>
    <t>Task 2</t>
  </si>
  <si>
    <t>BA เป็น Owner, SA Review — ครอบคลุมทุก Feature ตาม TOR</t>
  </si>
  <si>
    <t>Task 4</t>
  </si>
  <si>
    <t>SA เป็น Owner, BA Validate — Use Case ทุก Actor</t>
  </si>
  <si>
    <t>Task 5</t>
  </si>
  <si>
    <t>SA ออกแบบ Data Model และ Flow ทั้งหมด</t>
  </si>
  <si>
    <t>Critical</t>
  </si>
  <si>
    <t>Task 4,5</t>
  </si>
  <si>
    <t>UX/UI ออกแบบ Flow + Layout — BA/SA Review ความถูกต้อง</t>
  </si>
  <si>
    <t>Task 7</t>
  </si>
  <si>
    <t>Design Tokens, Button, Form, Table, Badge, Icon Style Guide</t>
  </si>
  <si>
    <t>Task 7,8</t>
  </si>
  <si>
    <t>Figma Prototype Interactive — Dev ใช้เป็น Handoff</t>
  </si>
  <si>
    <t>Task 6,9</t>
  </si>
  <si>
    <t>CNI ลงนาม BRD + SRS + Hi-fi Mockup ก่อนเริ่ม Dev</t>
  </si>
  <si>
    <t>Task 10</t>
  </si>
  <si>
    <t>Tech Stack, DB Schema, API Spec, Server/Infra Requirement</t>
  </si>
  <si>
    <t>Task 11</t>
  </si>
  <si>
    <t>Git Repo, Docker, Pipeline, Staging Server, RFID Middleware</t>
  </si>
  <si>
    <t>Form, Auto-gen Ref No. (LST-YYYYMMDD-XXXXX), Email/SMS Notify</t>
  </si>
  <si>
    <t>RFID Scan API, Image Upload ≤8 รูป, E-Signature, Found Form PDF</t>
  </si>
  <si>
    <t>Task 13,14</t>
  </si>
  <si>
    <t>Scoring 6 Fields, Auto-suggest ≥70%, Manual Match, RFID Scan Search</t>
  </si>
  <si>
    <t>Task 14</t>
  </si>
  <si>
    <t>7-Step Status, Expiry Alert, Return Form, Handover Sign</t>
  </si>
  <si>
    <t>Task 13-16</t>
  </si>
  <si>
    <t>Daily/Monthly/Yearly, Export Excel/PDF, User Activity Log</t>
  </si>
  <si>
    <t>User/Role/Permission รายบุคคล+รายกลุ่ม, Session Timeout, RFID Config</t>
  </si>
  <si>
    <t>Medium</t>
  </si>
  <si>
    <t>Task 17</t>
  </si>
  <si>
    <t>Match Rate KPI, Peak Hour Chart, Area Hotspot, Trend Graph</t>
  </si>
  <si>
    <t>Task 13-19</t>
  </si>
  <si>
    <t>Dev เขียน Unit Test, QA Review, Peer Code Review</t>
  </si>
  <si>
    <t>Task 21</t>
  </si>
  <si>
    <t>ทดสอบ RFID Reader จริง, E2E Flow ทุก Scenario</t>
  </si>
  <si>
    <t>Task 22</t>
  </si>
  <si>
    <t>Load Test, SQL Injection, Session Timeout, HTTPS/SSL</t>
  </si>
  <si>
    <t>Task 23</t>
  </si>
  <si>
    <t>Happy Path + Edge Case + Negative Test ครอบคลุมทุก Module</t>
  </si>
  <si>
    <t>Task 24,25</t>
  </si>
  <si>
    <t>ทดสอบจริงกับ User ทุก Role บน Staging Environment</t>
  </si>
  <si>
    <t>Task 26</t>
  </si>
  <si>
    <t>แก้ไข Bug ทั้งหมดจาก UAT และทดสอบซ้ำ</t>
  </si>
  <si>
    <t>Task 27</t>
  </si>
  <si>
    <t>CNI ลงนาม Acceptance Form — เงื่อนไขก่อน Deploy Production</t>
  </si>
  <si>
    <t>BA+SA เขียน Manual, UX/UI ทำ Screenshot+Diagram ประกอบ</t>
  </si>
  <si>
    <t>Task 29</t>
  </si>
  <si>
    <t>Trainer บันทึก Video ส่งมอบให้ CNI ใช้งานโดยไม่มีค่าใช้จ่าย</t>
  </si>
  <si>
    <t>Task 29,30</t>
  </si>
  <si>
    <t>จัดทำรายงานผลการอบรม + ใบลงชื่อ + ภาพถ่ายการอบรม</t>
  </si>
  <si>
    <t>Task 28</t>
  </si>
  <si>
    <t>Setup Server Production, SSL, Domain, RFID Reader IP/Port</t>
  </si>
  <si>
    <t>Task 32</t>
  </si>
  <si>
    <t>Monitor System, Quick-fix, Daily Status Report ถึง CNI</t>
  </si>
  <si>
    <t>TOTAL MAN-DAYS</t>
  </si>
  <si>
    <t>Deliverables &amp; Milestones — CNI Lost &amp; Found System</t>
  </si>
  <si>
    <t>งวด</t>
  </si>
  <si>
    <t>Milestone</t>
  </si>
  <si>
    <t>กำหนดส่ง</t>
  </si>
  <si>
    <t>Deliverables</t>
  </si>
  <si>
    <t>ผู้รับผิดชอบ</t>
  </si>
  <si>
    <t>เงื่อนไขการรับมอบ</t>
  </si>
  <si>
    <t>สถานะ</t>
  </si>
  <si>
    <t>Kick-Off Complete</t>
  </si>
  <si>
    <t>1. รายงาน Kick-Off Meeting
2. Project Plan (Approved)
3. Project Charter</t>
  </si>
  <si>
    <t>CNI ลงนามรับทราบ Project Plan และ Timeline</t>
  </si>
  <si>
    <t>Requirement &amp; Design Sign-off</t>
  </si>
  <si>
    <t>1. Business Requirements Document (BRD)
2. System Requirements Spec (SRS)
3. Use Case + ER Diagram + DFD
4. Wireframe / Hi-fi Mockup (Figma)
5. Design System Guide</t>
  </si>
  <si>
    <t>BA, SA, UX/UI, PM</t>
  </si>
  <si>
    <t>CNI Committee ลงนาม Sign-off ครบทั้ง BRD + Mockup</t>
  </si>
  <si>
    <t>Development &amp; Testing Complete</t>
  </si>
  <si>
    <t>Dev, QA, SA</t>
  </si>
  <si>
    <t>ผ่านเกณฑ์ Test Coverage ≥80% และ Performance Test</t>
  </si>
  <si>
    <t>1. Usability Test Report
2. UAT Test Result Report
3. Bug Fix Report
4. ระบบ Staging พร้อม Deploy Production</t>
  </si>
  <si>
    <t>QA, SA, BA, UX/UI, PM</t>
  </si>
  <si>
    <t>CNI ลงนาม UAT Acceptance Form</t>
  </si>
  <si>
    <t>PM, Dev, BA, SA</t>
  </si>
  <si>
    <t>ระบบ Stable 2 สัปดาห์แรก, CNI ยืนยันการรับมอบ</t>
  </si>
  <si>
    <t>Risk Register — CNI Lost &amp; Found System</t>
  </si>
  <si>
    <t>ความเสี่ยง</t>
  </si>
  <si>
    <t>โอกาส</t>
  </si>
  <si>
    <t>ผลกระทบ</t>
  </si>
  <si>
    <t>Risk Level</t>
  </si>
  <si>
    <t>แผนรับมือ</t>
  </si>
  <si>
    <t>เจ้าของ</t>
  </si>
  <si>
    <t>Req</t>
  </si>
  <si>
    <t>สูง</t>
  </si>
  <si>
    <t>HIGH</t>
  </si>
  <si>
    <t>กำหนด Hard Deadline ใน Contract, Escalate ทันทีถ้าเกิน 3 WD</t>
  </si>
  <si>
    <t>Open</t>
  </si>
  <si>
    <t>ปานกลาง</t>
  </si>
  <si>
    <t>ทดสอบ RFID ใน Sprint แรก, เตรียม Fallback เป็น QR Code</t>
  </si>
  <si>
    <t>HW, Dev</t>
  </si>
  <si>
    <t>Dev Resource ไม่เพียงพอ / ลาออกกลางโปรเจกต์</t>
  </si>
  <si>
    <t>Buffer 10% ใน Plan, Backup Dev 1 คน, Document ทุก Sprint</t>
  </si>
  <si>
    <t>UX/UI, Dev</t>
  </si>
  <si>
    <t>MEDIUM</t>
  </si>
  <si>
    <t>Dev, QA</t>
  </si>
  <si>
    <t>ระบบ Production Server ไม่ตรง Spec</t>
  </si>
  <si>
    <t>ต่ำ</t>
  </si>
  <si>
    <t>Dev, CNI IT</t>
  </si>
  <si>
    <t>Usability ต่ำ — เจ้าหน้าที่ใช้ระบบจริงไม่ได้</t>
  </si>
  <si>
    <t xml:space="preserve">  KICK-OFF</t>
  </si>
  <si>
    <t xml:space="preserve">  REQUIREMENT</t>
  </si>
  <si>
    <t xml:space="preserve">  DESIGN</t>
  </si>
  <si>
    <t xml:space="preserve">  DEVELOPMENT</t>
  </si>
  <si>
    <t xml:space="preserve">  TESTING</t>
  </si>
  <si>
    <t xml:space="preserve">  UAT</t>
  </si>
  <si>
    <t xml:space="preserve">  GO-LIVE</t>
  </si>
  <si>
    <t>สำรวจพื้นที่ห้างและ Infrastructure , RFID Reader</t>
  </si>
  <si>
    <t>Wireframe</t>
  </si>
  <si>
    <t>Module: Admin + Master Data + CRUD + RBAC</t>
  </si>
  <si>
    <t>ส่งแผนการอบรม และแก้ไขหลังจากพิจารณา</t>
  </si>
  <si>
    <t xml:space="preserve">Unit Test </t>
  </si>
  <si>
    <t>Work-Day / Manday = วันทำงานจริง (จันทร์–ศุกร์)  |  ไม่รวม เสาร์–อาทิตย์  |  Testing เริ่มพร้อม Dev วันที่ 14 พ.ย.</t>
  </si>
  <si>
    <t xml:space="preserve">7 Modules + Dashboard + Design QA </t>
  </si>
  <si>
    <t>หมายเหตุ: Man-Day = จำนวนวันทำงานจริง (วันจันทร์–วันศุกร์เท่านั้น)</t>
  </si>
  <si>
    <t xml:space="preserve">UI ที่ Dev Build ไม่ตรง Mockup </t>
  </si>
  <si>
    <t>8–30 มิ.ย.</t>
  </si>
  <si>
    <t>1 ก.ค. - 31 ก.ค.</t>
  </si>
  <si>
    <t>3 ส.ค. - 25 พ.ย.</t>
  </si>
  <si>
    <t xml:space="preserve">14 พ.ย. - 30 พ.ย. </t>
  </si>
  <si>
    <t>15 ธ.ค. - 22 ม.ค.</t>
  </si>
  <si>
    <t>1 ธ.ค. –14 ธ.ค.</t>
  </si>
  <si>
    <t>WD</t>
  </si>
  <si>
    <t>W1</t>
  </si>
  <si>
    <t>W2</t>
  </si>
  <si>
    <t>W3</t>
  </si>
  <si>
    <t>W4</t>
  </si>
  <si>
    <t>มิถุนายน 69</t>
  </si>
  <si>
    <t>กรกฎาคม 69</t>
  </si>
  <si>
    <t>สิงหาคม 69</t>
  </si>
  <si>
    <t>กันยายน 69</t>
  </si>
  <si>
    <t>ตุลาคม 69</t>
  </si>
  <si>
    <t>พฤศจิกายน 69</t>
  </si>
  <si>
    <t>ธันวาคม 69</t>
  </si>
  <si>
    <t>มกราคม 70</t>
  </si>
  <si>
    <t>Go-Live &amp;  Support (2 สัปดาห์)</t>
  </si>
  <si>
    <t>User Manual, Video Training, อบรม, Deploy Production, Support 2 สัปดาห์</t>
  </si>
  <si>
    <t>1. ระบบ Production พร้อมใช้งาน (Uptime ≥99%)
2. User Manual ภาษาไทย (ทุก Role)
3. Video การอบรม
4. รายงานผลการอบรม + ใบลงชื่อ
5. Support Plan 2 สัปดาห์</t>
  </si>
  <si>
    <t>1. Source Code ระบบครบทุก Module
2. Unit Test Report 
3. Integration Test Report (RFID E2E)
4. Performance &amp; Security Test Report</t>
  </si>
  <si>
    <t>CNI ไม่ Sign-off Requirement ตามกำหนด ทำให้ Dev ล่าช้า</t>
  </si>
  <si>
    <t>RFID Reader ไม่ Compatible กับ Network CNI ทำให้ Dev ล่าช้า</t>
  </si>
  <si>
    <t>Bug Critical ระหว่าง UAT ทำให้ Go-Live ล่าช้า</t>
  </si>
  <si>
    <t>Scope Creep  CNI เพิ่ม Feature ระหว่าง Dev ทำให้ต้อง Dev เพิ่มจากแผนแรก</t>
  </si>
  <si>
    <t xml:space="preserve">Freeze Req หลัง Sign-off เสมอแต่เมื่อเกิดเคสนี้จริงๆ ทางทีมต้อง Brain Storm กันก่อนว่าในเคสนี้ เป็นสิ่งที่ทางทีมคิดให้ลูกค้าไม่ครบ หรือ Scope Creep จริงๆ หากเป็น New Feature ให้ทาง Dev/PM ประเมิน Manday และนำไปขอตกลงกับลูกค้าเพื่อเพิ่มระยะเวลา แต่หากเป็น Chang Request ให้ทาง BA จัดทำเอกสารการขอเปลี่ยนแปลงและให้ Dev/PM ประเมิน Manday และนำไปคิดเงินลูกค้าเพิ่ม และขยายระยะเวลา </t>
  </si>
  <si>
    <t>PM, BA, Dev</t>
  </si>
  <si>
    <t>Figma Handoff ชัดเจน, UX/UI Review ทุก Sprint ก่อน Dev</t>
  </si>
  <si>
    <t>Integration Test ครบก่อน UAT, Buffer Bug Fix 4 WD ใน Plan</t>
  </si>
  <si>
    <t xml:space="preserve">ระบุ Server Spec ชัดเจนใน TOR, ตรวจสอบก่อน Deploy </t>
  </si>
  <si>
    <t>BA+UX/UI นำเสนอ Prototype ก่อน Dev และ Sign Off แล้ว หากในการทำงานจริงไม่สามารถใข้งานได้ ต้องการปรับตาม Feedback แต่ต้องไม่เกิน Scope PMจะต้องขอขยายไทม์ไลน์จากแผนเดิม เพื่อให้ทีมแก้ไข interface</t>
  </si>
  <si>
    <t>PM, BA, UX/UI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</si>
</sst>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1070000]d/m/yy;@"/>
    <numFmt numFmtId="167" formatCode="[$-1070000]d/mm/yyyy;@"/>
  </numFmts>
  <fonts count="44" x14ac:knownFonts="1">
    <font>
      <sz val="11"/>
      <color theme="1"/>
      <name val="Calibri"/>
      <family val="2"/>
      <charset val="1"/>
    </font>
    <font>
      <b/>
      <sz val="14"/>
      <color rgb="FF2C2C2A"/>
      <name val="Arial"/>
      <family val="2"/>
    </font>
    <font>
      <sz val="9"/>
      <color rgb="FF888780"/>
      <name val="Arial"/>
      <family val="2"/>
    </font>
    <font>
      <b/>
      <sz val="9"/>
      <color rgb="FFFFFFFF"/>
      <name val="Arial"/>
      <family val="2"/>
    </font>
    <font>
      <sz val="9"/>
      <color rgb="FF2C2C2A"/>
      <name val="Arial"/>
      <family val="2"/>
    </font>
    <font>
      <b/>
      <sz val="9"/>
      <color rgb="FF185FA5"/>
      <name val="Arial"/>
      <family val="2"/>
    </font>
    <font>
      <b/>
      <sz val="10"/>
      <color rgb="FF2C2C2A"/>
      <name val="Arial"/>
      <family val="2"/>
    </font>
    <font>
      <b/>
      <sz val="10"/>
      <color rgb="FF185FA5"/>
      <name val="Arial"/>
      <family val="2"/>
    </font>
    <font>
      <b/>
      <sz val="9"/>
      <color rgb="FFBA7517"/>
      <name val="Arial"/>
      <family val="2"/>
    </font>
    <font>
      <b/>
      <sz val="9"/>
      <color rgb="FF3B6D11"/>
      <name val="Arial"/>
      <family val="2"/>
    </font>
    <font>
      <b/>
      <sz val="9"/>
      <color rgb="FF993556"/>
      <name val="Arial"/>
      <family val="2"/>
    </font>
    <font>
      <b/>
      <sz val="9"/>
      <color rgb="FF8B6914"/>
      <name val="Arial"/>
      <family val="2"/>
    </font>
    <font>
      <b/>
      <sz val="9"/>
      <color rgb="FF0F6E56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sz val="8"/>
      <color rgb="FFBA7517"/>
      <name val="Arial"/>
      <family val="2"/>
    </font>
    <font>
      <b/>
      <sz val="12"/>
      <color rgb="FF2C2C2A"/>
      <name val="Arial"/>
      <family val="2"/>
    </font>
    <font>
      <sz val="7"/>
      <color rgb="FF888780"/>
      <name val="Arial"/>
      <family val="2"/>
    </font>
    <font>
      <b/>
      <sz val="8"/>
      <color rgb="FFFFFFFF"/>
      <name val="Arial"/>
      <family val="2"/>
    </font>
    <font>
      <sz val="8"/>
      <color rgb="FF888780"/>
      <name val="Arial"/>
      <family val="2"/>
    </font>
    <font>
      <b/>
      <sz val="8"/>
      <color rgb="FF595959"/>
      <name val="Arial"/>
      <family val="2"/>
    </font>
    <font>
      <b/>
      <sz val="6"/>
      <color rgb="FFFFFFFF"/>
      <name val="Arial"/>
      <family val="2"/>
    </font>
    <font>
      <b/>
      <sz val="8"/>
      <color rgb="FF7B6225"/>
      <name val="Arial"/>
      <family val="2"/>
    </font>
    <font>
      <b/>
      <sz val="8"/>
      <color rgb="FF993556"/>
      <name val="Arial"/>
      <family val="2"/>
    </font>
    <font>
      <b/>
      <sz val="8"/>
      <color rgb="FF9B4F10"/>
      <name val="Arial"/>
      <family val="2"/>
    </font>
    <font>
      <b/>
      <sz val="8"/>
      <color rgb="FF0F6E56"/>
      <name val="Arial"/>
      <family val="2"/>
    </font>
    <font>
      <b/>
      <sz val="8"/>
      <color rgb="FF8B3A0F"/>
      <name val="Arial"/>
      <family val="2"/>
    </font>
    <font>
      <b/>
      <sz val="8"/>
      <color rgb="FF7A2A0A"/>
      <name val="Arial"/>
      <family val="2"/>
    </font>
    <font>
      <b/>
      <sz val="13"/>
      <color rgb="FF2C2C2A"/>
      <name val="Arial"/>
      <family val="2"/>
    </font>
    <font>
      <sz val="9"/>
      <color rgb="FFD3D1C7"/>
      <name val="Arial"/>
      <family val="2"/>
    </font>
    <font>
      <b/>
      <sz val="8"/>
      <color rgb="FFBA7517"/>
      <name val="Arial"/>
      <family val="2"/>
    </font>
    <font>
      <b/>
      <sz val="8"/>
      <color rgb="FFA32D2D"/>
      <name val="Arial"/>
      <family val="2"/>
    </font>
    <font>
      <b/>
      <sz val="8"/>
      <color rgb="FF3B6D11"/>
      <name val="Arial"/>
      <family val="2"/>
    </font>
    <font>
      <b/>
      <sz val="9"/>
      <color rgb="FF595959"/>
      <name val="Arial"/>
      <family val="2"/>
    </font>
    <font>
      <b/>
      <sz val="9"/>
      <color rgb="FF7B6225"/>
      <name val="Arial"/>
      <family val="2"/>
    </font>
    <font>
      <b/>
      <sz val="9"/>
      <color rgb="FF9B4F10"/>
      <name val="Arial"/>
      <family val="2"/>
    </font>
    <font>
      <b/>
      <sz val="9"/>
      <color rgb="FF888780"/>
      <name val="Arial"/>
      <family val="2"/>
    </font>
    <font>
      <b/>
      <sz val="8"/>
      <color rgb="FF2C2C2A"/>
      <name val="Arial"/>
      <family val="2"/>
    </font>
    <font>
      <b/>
      <sz val="9"/>
      <color theme="0"/>
      <name val="Arial"/>
      <family val="2"/>
    </font>
    <font>
      <b/>
      <sz val="10"/>
      <color theme="1"/>
      <name val="Arial"/>
      <family val="2"/>
    </font>
    <font>
      <b/>
      <u/>
      <sz val="9"/>
      <color rgb="FFFFFFFF"/>
      <name val="Arial"/>
      <family val="2"/>
    </font>
    <font>
      <b/>
      <u/>
      <sz val="9"/>
      <color theme="0"/>
      <name val="Arial"/>
      <family val="2"/>
    </font>
    <font>
      <b/>
      <u val="double"/>
      <sz val="10"/>
      <color theme="9" tint="-0.249977111117893"/>
      <name val="Arial"/>
      <family val="2"/>
    </font>
    <font>
      <sz val="8"/>
      <name val="Calibri"/>
      <family val="2"/>
      <charset val="1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F5F4F1"/>
      </patternFill>
    </fill>
    <fill>
      <patternFill patternType="solid">
        <fgColor rgb="FFF5F4F1"/>
        <bgColor rgb="FFF0EFEB"/>
      </patternFill>
    </fill>
    <fill>
      <patternFill patternType="solid">
        <fgColor rgb="FF2C2C2A"/>
        <bgColor rgb="FF003300"/>
      </patternFill>
    </fill>
    <fill>
      <patternFill patternType="solid">
        <fgColor rgb="FF595959"/>
        <bgColor rgb="FF7B6225"/>
      </patternFill>
    </fill>
    <fill>
      <patternFill patternType="solid">
        <fgColor rgb="FFE6F1FB"/>
        <bgColor rgb="FFE1F5EE"/>
      </patternFill>
    </fill>
    <fill>
      <patternFill patternType="solid">
        <fgColor rgb="FF7B6225"/>
        <bgColor rgb="FF8B6914"/>
      </patternFill>
    </fill>
    <fill>
      <patternFill patternType="solid">
        <fgColor rgb="FF993556"/>
        <bgColor rgb="FFA32D2D"/>
      </patternFill>
    </fill>
    <fill>
      <patternFill patternType="solid">
        <fgColor rgb="FF9B4F10"/>
        <bgColor rgb="FF8B3A0F"/>
      </patternFill>
    </fill>
    <fill>
      <patternFill patternType="solid">
        <fgColor rgb="FF0F6E56"/>
        <bgColor rgb="FF008080"/>
      </patternFill>
    </fill>
    <fill>
      <patternFill patternType="solid">
        <fgColor rgb="FF8B3A0F"/>
        <bgColor rgb="FF7A2A0A"/>
      </patternFill>
    </fill>
    <fill>
      <patternFill patternType="solid">
        <fgColor rgb="FF7A2A0A"/>
        <bgColor rgb="FF8B3A0F"/>
      </patternFill>
    </fill>
    <fill>
      <patternFill patternType="solid">
        <fgColor rgb="FFFAEEDA"/>
        <bgColor rgb="FFFCEBEB"/>
      </patternFill>
    </fill>
    <fill>
      <patternFill patternType="solid">
        <fgColor rgb="FFEAF3DE"/>
        <bgColor rgb="FFF0EFEB"/>
      </patternFill>
    </fill>
    <fill>
      <patternFill patternType="solid">
        <fgColor rgb="FFFBEAF0"/>
        <bgColor rgb="FFFCEBEB"/>
      </patternFill>
    </fill>
    <fill>
      <patternFill patternType="solid">
        <fgColor rgb="FFF0DFB0"/>
        <bgColor rgb="FFFAD7B0"/>
      </patternFill>
    </fill>
    <fill>
      <patternFill patternType="solid">
        <fgColor rgb="FFE1F5EE"/>
        <bgColor rgb="FFE6F1FB"/>
      </patternFill>
    </fill>
    <fill>
      <patternFill patternType="solid">
        <fgColor rgb="FF185FA5"/>
        <bgColor rgb="FF0F6E56"/>
      </patternFill>
    </fill>
    <fill>
      <patternFill patternType="solid">
        <fgColor rgb="FFECEAE5"/>
        <bgColor rgb="FFE8E6E1"/>
      </patternFill>
    </fill>
    <fill>
      <patternFill patternType="solid">
        <fgColor rgb="FFE8E6E1"/>
        <bgColor rgb="FFECEAE5"/>
      </patternFill>
    </fill>
    <fill>
      <patternFill patternType="solid">
        <fgColor rgb="FFF0EFEB"/>
        <bgColor rgb="FFECEAE5"/>
      </patternFill>
    </fill>
    <fill>
      <patternFill patternType="solid">
        <fgColor rgb="FFF5E6C8"/>
        <bgColor rgb="FFFAEEDA"/>
      </patternFill>
    </fill>
    <fill>
      <patternFill patternType="solid">
        <fgColor rgb="FFFAD7B0"/>
        <bgColor rgb="FFF0DFB0"/>
      </patternFill>
    </fill>
    <fill>
      <patternFill patternType="solid">
        <fgColor rgb="FFF5C5A0"/>
        <bgColor rgb="FFF0B8A0"/>
      </patternFill>
    </fill>
    <fill>
      <patternFill patternType="solid">
        <fgColor rgb="FFF0B8A0"/>
        <bgColor rgb="FFF5C5A0"/>
      </patternFill>
    </fill>
    <fill>
      <patternFill patternType="solid">
        <fgColor rgb="FFFCEBEB"/>
        <bgColor rgb="FFFBEAF0"/>
      </patternFill>
    </fill>
    <fill>
      <patternFill patternType="solid">
        <fgColor rgb="FFF1DFB0"/>
        <bgColor rgb="FF003300"/>
      </patternFill>
    </fill>
    <fill>
      <patternFill patternType="solid">
        <fgColor rgb="FF7B6225"/>
        <bgColor rgb="FFFAD7B0"/>
      </patternFill>
    </fill>
    <fill>
      <patternFill patternType="solid">
        <fgColor rgb="FF993456"/>
        <bgColor rgb="FFFAD7B0"/>
      </patternFill>
    </fill>
    <fill>
      <patternFill patternType="solid">
        <fgColor rgb="FF9B4E10"/>
        <bgColor rgb="FFFAD7B0"/>
      </patternFill>
    </fill>
    <fill>
      <patternFill patternType="solid">
        <fgColor rgb="FF0E6D56"/>
        <bgColor rgb="FFFAD7B0"/>
      </patternFill>
    </fill>
    <fill>
      <patternFill patternType="solid">
        <fgColor rgb="FFF5F4F1"/>
        <bgColor rgb="FFFAD7B0"/>
      </patternFill>
    </fill>
    <fill>
      <patternFill patternType="solid">
        <fgColor rgb="FFF1F0EB"/>
        <bgColor rgb="FFA32D2D"/>
      </patternFill>
    </fill>
    <fill>
      <patternFill patternType="solid">
        <fgColor rgb="FFF1F0EB"/>
        <bgColor rgb="FFECEAE5"/>
      </patternFill>
    </fill>
    <fill>
      <patternFill patternType="solid">
        <fgColor rgb="FFF1F0EB"/>
        <bgColor rgb="FF8B3A0F"/>
      </patternFill>
    </fill>
    <fill>
      <patternFill patternType="solid">
        <fgColor rgb="FFF1F0EB"/>
        <bgColor rgb="FF8B6914"/>
      </patternFill>
    </fill>
    <fill>
      <patternFill patternType="solid">
        <fgColor theme="8" tint="-0.499984740745262"/>
        <bgColor rgb="FF7B6225"/>
      </patternFill>
    </fill>
    <fill>
      <patternFill patternType="solid">
        <fgColor theme="7" tint="-0.499984740745262"/>
        <bgColor rgb="FF7B6225"/>
      </patternFill>
    </fill>
  </fills>
  <borders count="45">
    <border>
      <left/>
      <right/>
      <top/>
      <bottom/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  <border>
      <left style="thin">
        <color rgb="FF2C2C2A"/>
      </left>
      <right style="thin">
        <color rgb="FF2C2C2A"/>
      </right>
      <top style="thin">
        <color rgb="FF2C2C2A"/>
      </top>
      <bottom style="thin">
        <color rgb="FF2C2C2A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/>
      <top style="thin">
        <color rgb="FFD3D1C7"/>
      </top>
      <bottom/>
      <diagonal/>
    </border>
    <border>
      <left style="thin">
        <color rgb="FF7B6225"/>
      </left>
      <right/>
      <top style="thin">
        <color rgb="FF7B6225"/>
      </top>
      <bottom style="thin">
        <color rgb="FF7B6225"/>
      </bottom>
      <diagonal/>
    </border>
    <border>
      <left style="thin">
        <color rgb="FF9B4F10"/>
      </left>
      <right/>
      <top style="thin">
        <color rgb="FF9B4F10"/>
      </top>
      <bottom style="thin">
        <color rgb="FF9B4F10"/>
      </bottom>
      <diagonal/>
    </border>
    <border>
      <left style="thin">
        <color rgb="FF0F6E56"/>
      </left>
      <right/>
      <top style="thin">
        <color rgb="FF0F6E56"/>
      </top>
      <bottom style="thin">
        <color rgb="FF0F6E56"/>
      </bottom>
      <diagonal/>
    </border>
    <border>
      <left style="thin">
        <color rgb="FF8B3A0F"/>
      </left>
      <right/>
      <top style="thin">
        <color rgb="FF8B3A0F"/>
      </top>
      <bottom style="thin">
        <color rgb="FF8B3A0F"/>
      </bottom>
      <diagonal/>
    </border>
    <border>
      <left style="thin">
        <color rgb="FF7A2A0A"/>
      </left>
      <right/>
      <top style="thin">
        <color rgb="FF7A2A0A"/>
      </top>
      <bottom style="thin">
        <color rgb="FF7A2A0A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E0DFDB"/>
      </left>
      <right style="thin">
        <color rgb="FFE0DFDB"/>
      </right>
      <top style="thin">
        <color rgb="FFE0DFDB"/>
      </top>
      <bottom style="thin">
        <color rgb="FFE0DFDB"/>
      </bottom>
      <diagonal/>
    </border>
    <border>
      <left style="thin">
        <color rgb="FF7B6225"/>
      </left>
      <right style="thin">
        <color rgb="FF7B6225"/>
      </right>
      <top style="thin">
        <color rgb="FF7B6225"/>
      </top>
      <bottom style="thin">
        <color rgb="FF7B6225"/>
      </bottom>
      <diagonal/>
    </border>
    <border>
      <left style="thin">
        <color rgb="FF993556"/>
      </left>
      <right style="thin">
        <color rgb="FF993556"/>
      </right>
      <top style="thin">
        <color rgb="FF993556"/>
      </top>
      <bottom style="thin">
        <color rgb="FF993556"/>
      </bottom>
      <diagonal/>
    </border>
    <border>
      <left style="thin">
        <color rgb="FF9B4F10"/>
      </left>
      <right style="thin">
        <color rgb="FF9B4F10"/>
      </right>
      <top style="thin">
        <color rgb="FF9B4F10"/>
      </top>
      <bottom style="thin">
        <color rgb="FF9B4F10"/>
      </bottom>
      <diagonal/>
    </border>
    <border>
      <left style="thin">
        <color rgb="FF0F6E56"/>
      </left>
      <right style="thin">
        <color rgb="FF0F6E56"/>
      </right>
      <top style="thin">
        <color rgb="FF0F6E56"/>
      </top>
      <bottom style="thin">
        <color rgb="FF0F6E56"/>
      </bottom>
      <diagonal/>
    </border>
    <border>
      <left style="thin">
        <color rgb="FF8B3A0F"/>
      </left>
      <right style="thin">
        <color rgb="FF8B3A0F"/>
      </right>
      <top style="thin">
        <color rgb="FF8B3A0F"/>
      </top>
      <bottom style="thin">
        <color rgb="FF8B3A0F"/>
      </bottom>
      <diagonal/>
    </border>
    <border>
      <left style="thin">
        <color rgb="FF7A2A0A"/>
      </left>
      <right style="thin">
        <color rgb="FF7A2A0A"/>
      </right>
      <top style="thin">
        <color rgb="FF7A2A0A"/>
      </top>
      <bottom style="thin">
        <color rgb="FF7A2A0A"/>
      </bottom>
      <diagonal/>
    </border>
    <border>
      <left/>
      <right/>
      <top style="thin">
        <color rgb="FFD3D1C7"/>
      </top>
      <bottom style="thin">
        <color rgb="FFD3D1C7"/>
      </bottom>
      <diagonal/>
    </border>
    <border>
      <left/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/>
      <bottom/>
      <diagonal/>
    </border>
    <border>
      <left style="thin">
        <color rgb="FF993556"/>
      </left>
      <right/>
      <top/>
      <bottom/>
      <diagonal/>
    </border>
    <border>
      <left/>
      <right/>
      <top style="thin">
        <color rgb="FF9B4F10"/>
      </top>
      <bottom style="thin">
        <color rgb="FF9B4F10"/>
      </bottom>
      <diagonal/>
    </border>
    <border>
      <left/>
      <right style="thin">
        <color rgb="FF0F6E56"/>
      </right>
      <top style="thin">
        <color rgb="FF9B4F10"/>
      </top>
      <bottom style="thin">
        <color rgb="FF9B4F10"/>
      </bottom>
      <diagonal/>
    </border>
    <border>
      <left/>
      <right/>
      <top style="thin">
        <color rgb="FF8B3A0F"/>
      </top>
      <bottom style="thin">
        <color rgb="FF8B3A0F"/>
      </bottom>
      <diagonal/>
    </border>
    <border>
      <left/>
      <right style="thin">
        <color rgb="FF7A2A0A"/>
      </right>
      <top style="thin">
        <color rgb="FF8B3A0F"/>
      </top>
      <bottom style="thin">
        <color rgb="FF8B3A0F"/>
      </bottom>
      <diagonal/>
    </border>
    <border>
      <left/>
      <right/>
      <top style="thin">
        <color rgb="FF7A2A0A"/>
      </top>
      <bottom style="thin">
        <color rgb="FF7A2A0A"/>
      </bottom>
      <diagonal/>
    </border>
    <border>
      <left/>
      <right style="thin">
        <color rgb="FF595959"/>
      </right>
      <top style="thin">
        <color rgb="FF7A2A0A"/>
      </top>
      <bottom style="thin">
        <color rgb="FF7A2A0A"/>
      </bottom>
      <diagonal/>
    </border>
    <border>
      <left style="thin">
        <color rgb="FF595959"/>
      </left>
      <right/>
      <top style="thin">
        <color rgb="FFD3D1C7"/>
      </top>
      <bottom style="thin">
        <color rgb="FFD3D1C7"/>
      </bottom>
      <diagonal/>
    </border>
    <border>
      <left style="thin">
        <color rgb="FFE1DFDB"/>
      </left>
      <right style="thin">
        <color rgb="FFE1DFDB"/>
      </right>
      <top style="thin">
        <color rgb="FFE1DFDB"/>
      </top>
      <bottom style="thin">
        <color rgb="FFE1DFDB"/>
      </bottom>
      <diagonal/>
    </border>
    <border>
      <left style="thin">
        <color rgb="FFE0DFDB"/>
      </left>
      <right/>
      <top style="thin">
        <color rgb="FFE0DFDB"/>
      </top>
      <bottom style="thin">
        <color rgb="FFE0DFDB"/>
      </bottom>
      <diagonal/>
    </border>
    <border>
      <left/>
      <right style="thin">
        <color rgb="FFE0DFDB"/>
      </right>
      <top style="thin">
        <color rgb="FFE0DFDB"/>
      </top>
      <bottom style="thin">
        <color rgb="FFE0DFDB"/>
      </bottom>
      <diagonal/>
    </border>
    <border>
      <left style="thin">
        <color rgb="FF0F6E56"/>
      </left>
      <right style="thin">
        <color rgb="FF0F6E56"/>
      </right>
      <top style="thin">
        <color rgb="FF0F6E56"/>
      </top>
      <bottom/>
      <diagonal/>
    </border>
    <border>
      <left style="thin">
        <color rgb="FFE0DFDB"/>
      </left>
      <right style="thin">
        <color rgb="FFE0DFDB"/>
      </right>
      <top style="thin">
        <color rgb="FFE0DFDB"/>
      </top>
      <bottom style="thin">
        <color rgb="FFE1DFDB"/>
      </bottom>
      <diagonal/>
    </border>
    <border>
      <left style="thin">
        <color rgb="FFE0DFDB"/>
      </left>
      <right style="thin">
        <color rgb="FFE0DFDB"/>
      </right>
      <top/>
      <bottom style="thin">
        <color rgb="FFE0DFDB"/>
      </bottom>
      <diagonal/>
    </border>
    <border>
      <left style="thin">
        <color rgb="FFE0DFDB"/>
      </left>
      <right style="thin">
        <color rgb="FFE0DFDB"/>
      </right>
      <top style="thin">
        <color rgb="FFE0DFDB"/>
      </top>
      <bottom/>
      <diagonal/>
    </border>
    <border>
      <left style="thin">
        <color rgb="FFE0DFDB"/>
      </left>
      <right/>
      <top style="thin">
        <color rgb="FFE0DFDB"/>
      </top>
      <bottom/>
      <diagonal/>
    </border>
    <border>
      <left style="thin">
        <color rgb="FFE1DFDB"/>
      </left>
      <right/>
      <top style="thin">
        <color rgb="FFE1DFDB"/>
      </top>
      <bottom/>
      <diagonal/>
    </border>
    <border>
      <left style="thin">
        <color rgb="FFE1DFDB"/>
      </left>
      <right style="thin">
        <color rgb="FFE1DFDB"/>
      </right>
      <top style="thin">
        <color rgb="FFE1DFDB"/>
      </top>
      <bottom/>
      <diagonal/>
    </border>
    <border>
      <left style="thin">
        <color rgb="FFE0DFDB"/>
      </left>
      <right/>
      <top/>
      <bottom style="thin">
        <color rgb="FFE0DFDB"/>
      </bottom>
      <diagonal/>
    </border>
    <border>
      <left style="thin">
        <color rgb="FF8B3A0F"/>
      </left>
      <right style="thin">
        <color rgb="FF8B3A0F"/>
      </right>
      <top/>
      <bottom/>
      <diagonal/>
    </border>
    <border>
      <left style="thin">
        <color rgb="FF8B3A0F"/>
      </left>
      <right style="thin">
        <color rgb="FF8B3A0F"/>
      </right>
      <top style="thin">
        <color rgb="FF8B3A0F"/>
      </top>
      <bottom/>
      <diagonal/>
    </border>
    <border>
      <left style="thin">
        <color rgb="FF7A2A0A"/>
      </left>
      <right style="thin">
        <color rgb="FF7A2A0A"/>
      </right>
      <top/>
      <bottom style="thin">
        <color rgb="FF7A2A0A"/>
      </bottom>
      <diagonal/>
    </border>
    <border>
      <left style="thin">
        <color rgb="FF7A2A0A"/>
      </left>
      <right style="thin">
        <color rgb="FF7A2A0A"/>
      </right>
      <top/>
      <bottom/>
      <diagonal/>
    </border>
    <border>
      <left style="thin">
        <color rgb="FF7A2A0A"/>
      </left>
      <right style="thin">
        <color rgb="FF7A2A0A"/>
      </right>
      <top style="thin">
        <color rgb="FF7A2A0A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3" fillId="12" borderId="9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3" fillId="4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10" fillId="15" borderId="3" xfId="0" applyFont="1" applyFill="1" applyBorder="1" applyAlignment="1">
      <alignment horizontal="center" vertical="center"/>
    </xf>
    <xf numFmtId="0" fontId="11" fillId="16" borderId="3" xfId="0" applyFont="1" applyFill="1" applyBorder="1" applyAlignment="1">
      <alignment horizontal="center" vertical="center"/>
    </xf>
    <xf numFmtId="0" fontId="12" fillId="17" borderId="3" xfId="0" applyFont="1" applyFill="1" applyBorder="1" applyAlignment="1">
      <alignment horizontal="center" vertical="center"/>
    </xf>
    <xf numFmtId="0" fontId="14" fillId="18" borderId="3" xfId="0" applyFont="1" applyFill="1" applyBorder="1" applyAlignment="1">
      <alignment horizontal="center" vertical="center"/>
    </xf>
    <xf numFmtId="0" fontId="17" fillId="19" borderId="3" xfId="0" applyFont="1" applyFill="1" applyBorder="1" applyAlignment="1">
      <alignment horizontal="center" vertical="center" wrapText="1"/>
    </xf>
    <xf numFmtId="0" fontId="20" fillId="20" borderId="3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0" fillId="21" borderId="11" xfId="0" applyFill="1" applyBorder="1"/>
    <xf numFmtId="0" fontId="21" fillId="7" borderId="1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0" fontId="21" fillId="9" borderId="11" xfId="0" applyFont="1" applyFill="1" applyBorder="1" applyAlignment="1">
      <alignment horizontal="center" vertical="center"/>
    </xf>
    <xf numFmtId="0" fontId="26" fillId="24" borderId="3" xfId="0" applyFont="1" applyFill="1" applyBorder="1" applyAlignment="1">
      <alignment horizontal="center" vertical="center"/>
    </xf>
    <xf numFmtId="0" fontId="27" fillId="25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20" fillId="20" borderId="3" xfId="0" applyFont="1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9" fillId="14" borderId="3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0" fontId="30" fillId="13" borderId="3" xfId="0" applyFont="1" applyFill="1" applyBorder="1" applyAlignment="1">
      <alignment horizontal="center" vertical="center" wrapText="1"/>
    </xf>
    <xf numFmtId="0" fontId="22" fillId="22" borderId="3" xfId="0" applyFont="1" applyFill="1" applyBorder="1" applyAlignment="1">
      <alignment horizontal="center" vertical="center" wrapText="1"/>
    </xf>
    <xf numFmtId="0" fontId="23" fillId="15" borderId="3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center" vertical="center" wrapText="1"/>
    </xf>
    <xf numFmtId="0" fontId="31" fillId="26" borderId="3" xfId="0" applyFont="1" applyFill="1" applyBorder="1" applyAlignment="1">
      <alignment horizontal="center" vertical="center" wrapText="1"/>
    </xf>
    <xf numFmtId="0" fontId="24" fillId="23" borderId="3" xfId="0" applyFont="1" applyFill="1" applyBorder="1" applyAlignment="1">
      <alignment horizontal="center" vertical="center" wrapText="1"/>
    </xf>
    <xf numFmtId="0" fontId="32" fillId="14" borderId="3" xfId="0" applyFont="1" applyFill="1" applyBorder="1" applyAlignment="1">
      <alignment horizontal="center" vertical="center" wrapText="1"/>
    </xf>
    <xf numFmtId="0" fontId="25" fillId="17" borderId="3" xfId="0" applyFont="1" applyFill="1" applyBorder="1" applyAlignment="1">
      <alignment horizontal="center" vertical="center" wrapText="1"/>
    </xf>
    <xf numFmtId="0" fontId="12" fillId="17" borderId="3" xfId="0" applyFont="1" applyFill="1" applyBorder="1" applyAlignment="1">
      <alignment horizontal="center" vertical="center" wrapText="1"/>
    </xf>
    <xf numFmtId="0" fontId="26" fillId="24" borderId="3" xfId="0" applyFont="1" applyFill="1" applyBorder="1" applyAlignment="1">
      <alignment horizontal="center" vertical="center" wrapText="1"/>
    </xf>
    <xf numFmtId="0" fontId="27" fillId="25" borderId="3" xfId="0" applyFont="1" applyFill="1" applyBorder="1" applyAlignment="1">
      <alignment horizontal="center" vertical="center" wrapText="1"/>
    </xf>
    <xf numFmtId="0" fontId="30" fillId="13" borderId="3" xfId="0" applyFont="1" applyFill="1" applyBorder="1" applyAlignment="1">
      <alignment horizontal="center" vertical="center"/>
    </xf>
    <xf numFmtId="0" fontId="31" fillId="26" borderId="3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33" fillId="20" borderId="3" xfId="0" applyFont="1" applyFill="1" applyBorder="1" applyAlignment="1">
      <alignment horizontal="left" vertical="center" wrapText="1"/>
    </xf>
    <xf numFmtId="0" fontId="14" fillId="7" borderId="3" xfId="0" applyFont="1" applyFill="1" applyBorder="1" applyAlignment="1">
      <alignment horizontal="center" vertical="center"/>
    </xf>
    <xf numFmtId="0" fontId="34" fillId="22" borderId="3" xfId="0" applyFont="1" applyFill="1" applyBorder="1" applyAlignment="1">
      <alignment horizontal="left" vertical="center" wrapText="1"/>
    </xf>
    <xf numFmtId="0" fontId="14" fillId="8" borderId="3" xfId="0" applyFont="1" applyFill="1" applyBorder="1" applyAlignment="1">
      <alignment horizontal="center" vertical="center"/>
    </xf>
    <xf numFmtId="0" fontId="10" fillId="15" borderId="3" xfId="0" applyFont="1" applyFill="1" applyBorder="1" applyAlignment="1">
      <alignment horizontal="left" vertical="center" wrapText="1"/>
    </xf>
    <xf numFmtId="0" fontId="14" fillId="9" borderId="3" xfId="0" applyFont="1" applyFill="1" applyBorder="1" applyAlignment="1">
      <alignment horizontal="center" vertical="center"/>
    </xf>
    <xf numFmtId="0" fontId="35" fillId="23" borderId="3" xfId="0" applyFont="1" applyFill="1" applyBorder="1" applyAlignment="1">
      <alignment horizontal="left" vertical="center" wrapText="1"/>
    </xf>
    <xf numFmtId="0" fontId="14" fillId="10" borderId="3" xfId="0" applyFont="1" applyFill="1" applyBorder="1" applyAlignment="1">
      <alignment horizontal="center" vertical="center"/>
    </xf>
    <xf numFmtId="0" fontId="12" fillId="17" borderId="3" xfId="0" applyFont="1" applyFill="1" applyBorder="1" applyAlignment="1">
      <alignment horizontal="left" vertical="center" wrapText="1"/>
    </xf>
    <xf numFmtId="0" fontId="36" fillId="2" borderId="3" xfId="0" applyFont="1" applyFill="1" applyBorder="1" applyAlignment="1">
      <alignment horizontal="center" vertical="center"/>
    </xf>
    <xf numFmtId="0" fontId="37" fillId="3" borderId="3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vertical="center"/>
    </xf>
    <xf numFmtId="0" fontId="3" fillId="7" borderId="12" xfId="0" applyFont="1" applyFill="1" applyBorder="1" applyAlignment="1">
      <alignment vertical="center"/>
    </xf>
    <xf numFmtId="0" fontId="3" fillId="8" borderId="13" xfId="0" applyFont="1" applyFill="1" applyBorder="1" applyAlignment="1">
      <alignment vertical="center"/>
    </xf>
    <xf numFmtId="0" fontId="3" fillId="9" borderId="14" xfId="0" applyFont="1" applyFill="1" applyBorder="1" applyAlignment="1">
      <alignment vertical="center"/>
    </xf>
    <xf numFmtId="0" fontId="3" fillId="10" borderId="15" xfId="0" applyFont="1" applyFill="1" applyBorder="1" applyAlignment="1">
      <alignment vertical="center"/>
    </xf>
    <xf numFmtId="0" fontId="3" fillId="11" borderId="16" xfId="0" applyFont="1" applyFill="1" applyBorder="1" applyAlignment="1">
      <alignment vertical="center"/>
    </xf>
    <xf numFmtId="0" fontId="3" fillId="12" borderId="17" xfId="0" applyFont="1" applyFill="1" applyBorder="1" applyAlignment="1">
      <alignment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167" fontId="4" fillId="2" borderId="3" xfId="0" applyNumberFormat="1" applyFont="1" applyFill="1" applyBorder="1" applyAlignment="1">
      <alignment horizontal="center" vertical="center" wrapText="1"/>
    </xf>
    <xf numFmtId="167" fontId="3" fillId="7" borderId="12" xfId="0" applyNumberFormat="1" applyFont="1" applyFill="1" applyBorder="1" applyAlignment="1">
      <alignment vertical="center"/>
    </xf>
    <xf numFmtId="167" fontId="3" fillId="8" borderId="13" xfId="0" applyNumberFormat="1" applyFont="1" applyFill="1" applyBorder="1" applyAlignment="1">
      <alignment vertical="center"/>
    </xf>
    <xf numFmtId="167" fontId="3" fillId="9" borderId="14" xfId="0" applyNumberFormat="1" applyFont="1" applyFill="1" applyBorder="1" applyAlignment="1">
      <alignment vertical="center"/>
    </xf>
    <xf numFmtId="167" fontId="3" fillId="10" borderId="15" xfId="0" applyNumberFormat="1" applyFont="1" applyFill="1" applyBorder="1" applyAlignment="1">
      <alignment vertical="center"/>
    </xf>
    <xf numFmtId="167" fontId="3" fillId="11" borderId="16" xfId="0" applyNumberFormat="1" applyFont="1" applyFill="1" applyBorder="1" applyAlignment="1">
      <alignment vertical="center"/>
    </xf>
    <xf numFmtId="167" fontId="3" fillId="12" borderId="17" xfId="0" applyNumberFormat="1" applyFont="1" applyFill="1" applyBorder="1" applyAlignment="1">
      <alignment vertical="center"/>
    </xf>
    <xf numFmtId="0" fontId="3" fillId="5" borderId="10" xfId="0" applyFont="1" applyFill="1" applyBorder="1" applyAlignment="1">
      <alignment horizontal="center" vertical="center"/>
    </xf>
    <xf numFmtId="0" fontId="38" fillId="28" borderId="3" xfId="0" applyFont="1" applyFill="1" applyBorder="1" applyAlignment="1">
      <alignment horizontal="center" vertical="center" wrapText="1"/>
    </xf>
    <xf numFmtId="0" fontId="38" fillId="29" borderId="3" xfId="0" applyFont="1" applyFill="1" applyBorder="1" applyAlignment="1">
      <alignment horizontal="center" vertical="center" wrapText="1"/>
    </xf>
    <xf numFmtId="0" fontId="38" fillId="30" borderId="3" xfId="0" applyFont="1" applyFill="1" applyBorder="1" applyAlignment="1">
      <alignment horizontal="center" vertical="center" wrapText="1"/>
    </xf>
    <xf numFmtId="0" fontId="38" fillId="31" borderId="20" xfId="0" applyFont="1" applyFill="1" applyBorder="1" applyAlignment="1">
      <alignment horizontal="center" vertical="center" wrapText="1"/>
    </xf>
    <xf numFmtId="0" fontId="3" fillId="11" borderId="16" xfId="0" applyNumberFormat="1" applyFont="1" applyFill="1" applyBorder="1" applyAlignment="1">
      <alignment horizontal="center" vertical="center"/>
    </xf>
    <xf numFmtId="0" fontId="3" fillId="12" borderId="17" xfId="0" applyNumberFormat="1" applyFont="1" applyFill="1" applyBorder="1" applyAlignment="1">
      <alignment horizontal="center" vertical="center"/>
    </xf>
    <xf numFmtId="0" fontId="11" fillId="32" borderId="0" xfId="0" applyFont="1" applyFill="1" applyBorder="1" applyAlignment="1">
      <alignment horizontal="center" vertical="center" wrapText="1"/>
    </xf>
    <xf numFmtId="0" fontId="39" fillId="27" borderId="1" xfId="0" applyFont="1" applyFill="1" applyBorder="1" applyAlignment="1">
      <alignment vertical="center"/>
    </xf>
    <xf numFmtId="0" fontId="40" fillId="5" borderId="10" xfId="0" applyFont="1" applyFill="1" applyBorder="1" applyAlignment="1">
      <alignment vertical="center"/>
    </xf>
    <xf numFmtId="0" fontId="41" fillId="28" borderId="3" xfId="0" applyFont="1" applyFill="1" applyBorder="1" applyAlignment="1">
      <alignment horizontal="right" vertical="center" wrapText="1"/>
    </xf>
    <xf numFmtId="0" fontId="41" fillId="29" borderId="3" xfId="0" applyFont="1" applyFill="1" applyBorder="1" applyAlignment="1">
      <alignment horizontal="right" vertical="center" wrapText="1"/>
    </xf>
    <xf numFmtId="0" fontId="41" fillId="30" borderId="3" xfId="0" applyFont="1" applyFill="1" applyBorder="1" applyAlignment="1">
      <alignment horizontal="right" vertical="center" wrapText="1"/>
    </xf>
    <xf numFmtId="0" fontId="40" fillId="10" borderId="15" xfId="0" applyFont="1" applyFill="1" applyBorder="1" applyAlignment="1">
      <alignment vertical="center"/>
    </xf>
    <xf numFmtId="0" fontId="40" fillId="11" borderId="16" xfId="0" applyFont="1" applyFill="1" applyBorder="1" applyAlignment="1">
      <alignment vertical="center"/>
    </xf>
    <xf numFmtId="0" fontId="40" fillId="12" borderId="17" xfId="0" applyFont="1" applyFill="1" applyBorder="1" applyAlignment="1">
      <alignment vertical="center"/>
    </xf>
    <xf numFmtId="0" fontId="42" fillId="27" borderId="4" xfId="0" applyFont="1" applyFill="1" applyBorder="1" applyAlignment="1">
      <alignment vertical="center"/>
    </xf>
    <xf numFmtId="0" fontId="18" fillId="7" borderId="12" xfId="0" applyFont="1" applyFill="1" applyBorder="1" applyAlignment="1">
      <alignment vertical="center"/>
    </xf>
    <xf numFmtId="0" fontId="18" fillId="5" borderId="10" xfId="0" applyFont="1" applyFill="1" applyBorder="1" applyAlignment="1">
      <alignment vertical="center"/>
    </xf>
    <xf numFmtId="0" fontId="18" fillId="8" borderId="13" xfId="0" applyFont="1" applyFill="1" applyBorder="1" applyAlignment="1">
      <alignment vertical="center"/>
    </xf>
    <xf numFmtId="0" fontId="18" fillId="9" borderId="14" xfId="0" applyFont="1" applyFill="1" applyBorder="1" applyAlignment="1">
      <alignment vertical="center"/>
    </xf>
    <xf numFmtId="0" fontId="21" fillId="33" borderId="11" xfId="0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9" borderId="22" xfId="0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center" vertical="center"/>
    </xf>
    <xf numFmtId="0" fontId="0" fillId="34" borderId="11" xfId="0" applyFill="1" applyBorder="1"/>
    <xf numFmtId="0" fontId="21" fillId="35" borderId="11" xfId="0" applyFont="1" applyFill="1" applyBorder="1" applyAlignment="1">
      <alignment horizontal="center" vertical="center"/>
    </xf>
    <xf numFmtId="0" fontId="3" fillId="11" borderId="24" xfId="0" applyFont="1" applyFill="1" applyBorder="1" applyAlignment="1">
      <alignment horizontal="center" vertical="center"/>
    </xf>
    <xf numFmtId="0" fontId="3" fillId="11" borderId="25" xfId="0" applyFont="1" applyFill="1" applyBorder="1" applyAlignment="1">
      <alignment horizontal="center" vertical="center"/>
    </xf>
    <xf numFmtId="0" fontId="3" fillId="12" borderId="26" xfId="0" applyFont="1" applyFill="1" applyBorder="1" applyAlignment="1">
      <alignment horizontal="center" vertical="center"/>
    </xf>
    <xf numFmtId="0" fontId="3" fillId="12" borderId="27" xfId="0" applyFont="1" applyFill="1" applyBorder="1" applyAlignment="1">
      <alignment horizontal="center" vertical="center"/>
    </xf>
    <xf numFmtId="0" fontId="21" fillId="36" borderId="11" xfId="0" applyFont="1" applyFill="1" applyBorder="1" applyAlignment="1">
      <alignment horizontal="center" vertical="center"/>
    </xf>
    <xf numFmtId="0" fontId="3" fillId="37" borderId="28" xfId="0" applyFont="1" applyFill="1" applyBorder="1" applyAlignment="1">
      <alignment horizontal="center" vertical="center"/>
    </xf>
    <xf numFmtId="0" fontId="3" fillId="37" borderId="18" xfId="0" applyFont="1" applyFill="1" applyBorder="1" applyAlignment="1">
      <alignment horizontal="center" vertical="center"/>
    </xf>
    <xf numFmtId="0" fontId="3" fillId="38" borderId="28" xfId="0" applyFont="1" applyFill="1" applyBorder="1" applyAlignment="1">
      <alignment horizontal="center" vertical="center"/>
    </xf>
    <xf numFmtId="0" fontId="3" fillId="38" borderId="18" xfId="0" applyFont="1" applyFill="1" applyBorder="1" applyAlignment="1">
      <alignment horizontal="center" vertical="center"/>
    </xf>
    <xf numFmtId="0" fontId="0" fillId="21" borderId="30" xfId="0" applyFill="1" applyBorder="1"/>
    <xf numFmtId="0" fontId="0" fillId="21" borderId="31" xfId="0" applyFill="1" applyBorder="1"/>
    <xf numFmtId="167" fontId="3" fillId="10" borderId="32" xfId="0" applyNumberFormat="1" applyFont="1" applyFill="1" applyBorder="1" applyAlignment="1">
      <alignment vertical="center"/>
    </xf>
    <xf numFmtId="167" fontId="3" fillId="10" borderId="29" xfId="0" applyNumberFormat="1" applyFont="1" applyFill="1" applyBorder="1" applyAlignment="1">
      <alignment vertical="center"/>
    </xf>
    <xf numFmtId="0" fontId="21" fillId="35" borderId="34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0" fillId="21" borderId="35" xfId="0" applyFill="1" applyBorder="1"/>
    <xf numFmtId="0" fontId="0" fillId="21" borderId="36" xfId="0" applyFill="1" applyBorder="1"/>
    <xf numFmtId="167" fontId="3" fillId="10" borderId="37" xfId="0" applyNumberFormat="1" applyFont="1" applyFill="1" applyBorder="1" applyAlignment="1">
      <alignment vertical="center"/>
    </xf>
    <xf numFmtId="167" fontId="3" fillId="10" borderId="38" xfId="0" applyNumberFormat="1" applyFont="1" applyFill="1" applyBorder="1" applyAlignment="1">
      <alignment vertical="center"/>
    </xf>
    <xf numFmtId="0" fontId="0" fillId="21" borderId="34" xfId="0" applyFill="1" applyBorder="1"/>
    <xf numFmtId="0" fontId="0" fillId="21" borderId="39" xfId="0" applyFill="1" applyBorder="1"/>
    <xf numFmtId="167" fontId="3" fillId="11" borderId="40" xfId="0" applyNumberFormat="1" applyFont="1" applyFill="1" applyBorder="1" applyAlignment="1">
      <alignment vertical="center"/>
    </xf>
    <xf numFmtId="167" fontId="3" fillId="11" borderId="41" xfId="0" applyNumberFormat="1" applyFont="1" applyFill="1" applyBorder="1" applyAlignment="1">
      <alignment vertical="center"/>
    </xf>
    <xf numFmtId="167" fontId="3" fillId="12" borderId="42" xfId="0" applyNumberFormat="1" applyFont="1" applyFill="1" applyBorder="1" applyAlignment="1">
      <alignment vertical="center"/>
    </xf>
    <xf numFmtId="0" fontId="0" fillId="21" borderId="29" xfId="0" applyFill="1" applyBorder="1"/>
    <xf numFmtId="167" fontId="3" fillId="11" borderId="29" xfId="0" applyNumberFormat="1" applyFont="1" applyFill="1" applyBorder="1" applyAlignment="1">
      <alignment vertical="center"/>
    </xf>
    <xf numFmtId="167" fontId="3" fillId="12" borderId="43" xfId="0" applyNumberFormat="1" applyFont="1" applyFill="1" applyBorder="1" applyAlignment="1">
      <alignment vertical="center"/>
    </xf>
    <xf numFmtId="167" fontId="3" fillId="12" borderId="44" xfId="0" applyNumberFormat="1" applyFont="1" applyFill="1" applyBorder="1" applyAlignment="1">
      <alignment vertical="center"/>
    </xf>
    <xf numFmtId="167" fontId="3" fillId="12" borderId="29" xfId="0" applyNumberFormat="1" applyFont="1" applyFill="1" applyBorder="1" applyAlignment="1">
      <alignment vertical="center"/>
    </xf>
    <xf numFmtId="166" fontId="4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0EFEB"/>
      <rgbColor rgb="FFFF00FF"/>
      <rgbColor rgb="FF00FFFF"/>
      <rgbColor rgb="FF7A2A0A"/>
      <rgbColor rgb="FF3B6D11"/>
      <rgbColor rgb="FF000080"/>
      <rgbColor rgb="FF8B6914"/>
      <rgbColor rgb="FF800080"/>
      <rgbColor rgb="FF0F6E56"/>
      <rgbColor rgb="FFD3D1C7"/>
      <rgbColor rgb="FF888780"/>
      <rgbColor rgb="FFECEAE5"/>
      <rgbColor rgb="FF993556"/>
      <rgbColor rgb="FFFAEEDA"/>
      <rgbColor rgb="FFE1F5EE"/>
      <rgbColor rgb="FF660066"/>
      <rgbColor rgb="FFFBEAF0"/>
      <rgbColor rgb="FF185FA5"/>
      <rgbColor rgb="FFE0DFDB"/>
      <rgbColor rgb="FF000080"/>
      <rgbColor rgb="FFFF00FF"/>
      <rgbColor rgb="FFFCEBEB"/>
      <rgbColor rgb="FF00FFFF"/>
      <rgbColor rgb="FF800080"/>
      <rgbColor rgb="FF9B4F10"/>
      <rgbColor rgb="FF008080"/>
      <rgbColor rgb="FF0000FF"/>
      <rgbColor rgb="FF00CCFF"/>
      <rgbColor rgb="FFE6F1FB"/>
      <rgbColor rgb="FFEAF3DE"/>
      <rgbColor rgb="FFF5E6C8"/>
      <rgbColor rgb="FFE8E6E1"/>
      <rgbColor rgb="FFF0B8A0"/>
      <rgbColor rgb="FFF0DFB0"/>
      <rgbColor rgb="FFF5C5A0"/>
      <rgbColor rgb="FF3366FF"/>
      <rgbColor rgb="FF33CCCC"/>
      <rgbColor rgb="FF99CC00"/>
      <rgbColor rgb="FFFAD7B0"/>
      <rgbColor rgb="FFFF9900"/>
      <rgbColor rgb="FFBA7517"/>
      <rgbColor rgb="FF595959"/>
      <rgbColor rgb="FFF5F4F1"/>
      <rgbColor rgb="FF003366"/>
      <rgbColor rgb="FF339966"/>
      <rgbColor rgb="FF003300"/>
      <rgbColor rgb="FF7B6225"/>
      <rgbColor rgb="FF8B3A0F"/>
      <rgbColor rgb="FFA32D2D"/>
      <rgbColor rgb="FF333399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1DFDB"/>
      <color rgb="FFF1F0EB"/>
      <color rgb="FFF5F4F1"/>
      <color rgb="FF0E6D56"/>
      <color rgb="FF9B4E10"/>
      <color rgb="FF993456"/>
      <color rgb="FF7B6225"/>
      <color rgb="FFF1DF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5FA5"/>
  </sheetPr>
  <dimension ref="A1:M54"/>
  <sheetViews>
    <sheetView showGridLines="0" zoomScaleNormal="100" workbookViewId="0">
      <selection activeCell="D15" sqref="D15"/>
    </sheetView>
  </sheetViews>
  <sheetFormatPr baseColWidth="10" defaultColWidth="8.6640625" defaultRowHeight="15" x14ac:dyDescent="0.2"/>
  <cols>
    <col min="1" max="1" width="18" customWidth="1"/>
    <col min="2" max="2" width="22" customWidth="1"/>
    <col min="3" max="3" width="12" customWidth="1"/>
    <col min="4" max="4" width="52" customWidth="1"/>
    <col min="5" max="5" width="63" bestFit="1" customWidth="1"/>
    <col min="6" max="12" width="9" customWidth="1"/>
  </cols>
  <sheetData>
    <row r="1" spans="1:13" ht="31.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8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2"/>
    </row>
    <row r="3" spans="1:13" ht="9.75" customHeight="1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21.75" customHeight="1" x14ac:dyDescent="0.2">
      <c r="A4" s="13" t="s">
        <v>2</v>
      </c>
      <c r="B4" s="13" t="s">
        <v>3</v>
      </c>
      <c r="C4" s="13" t="s">
        <v>4</v>
      </c>
      <c r="D4" s="13" t="s">
        <v>5</v>
      </c>
      <c r="E4" s="12"/>
      <c r="F4" s="12"/>
      <c r="G4" s="12"/>
      <c r="H4" s="12"/>
      <c r="I4" s="12"/>
      <c r="J4" s="12"/>
      <c r="K4" s="12"/>
      <c r="L4" s="12"/>
      <c r="M4" s="12"/>
    </row>
    <row r="5" spans="1:13" ht="19.5" customHeight="1" x14ac:dyDescent="0.2">
      <c r="A5" s="14" t="s">
        <v>6</v>
      </c>
      <c r="B5" s="15" t="s">
        <v>7</v>
      </c>
      <c r="C5" s="16">
        <f>'Detailed Task Plan'!F5</f>
        <v>3</v>
      </c>
      <c r="D5" s="17" t="s">
        <v>8</v>
      </c>
      <c r="E5" s="12"/>
      <c r="F5" s="12"/>
      <c r="G5" s="12"/>
      <c r="H5" s="12"/>
      <c r="I5" s="12"/>
      <c r="J5" s="12"/>
      <c r="K5" s="12"/>
      <c r="L5" s="12"/>
      <c r="M5" s="12"/>
    </row>
    <row r="6" spans="1:13" ht="19.5" customHeight="1" x14ac:dyDescent="0.2">
      <c r="A6" s="18" t="s">
        <v>9</v>
      </c>
      <c r="B6" s="15" t="s">
        <v>219</v>
      </c>
      <c r="C6" s="16">
        <f>'Detailed Task Plan'!F7</f>
        <v>22</v>
      </c>
      <c r="D6" s="17" t="s">
        <v>10</v>
      </c>
      <c r="E6" s="12"/>
      <c r="F6" s="12"/>
      <c r="G6" s="12"/>
      <c r="H6" s="12"/>
      <c r="I6" s="12"/>
      <c r="J6" s="12"/>
      <c r="K6" s="12"/>
      <c r="L6" s="12"/>
      <c r="M6" s="12"/>
    </row>
    <row r="7" spans="1:13" ht="19.5" customHeight="1" x14ac:dyDescent="0.2">
      <c r="A7" s="19" t="s">
        <v>11</v>
      </c>
      <c r="B7" s="15" t="s">
        <v>220</v>
      </c>
      <c r="C7" s="16">
        <f>'Detailed Task Plan'!F13</f>
        <v>24</v>
      </c>
      <c r="D7" s="17" t="s">
        <v>12</v>
      </c>
      <c r="E7" s="12"/>
      <c r="F7" s="12"/>
      <c r="G7" s="12"/>
      <c r="H7" s="12"/>
      <c r="I7" s="12"/>
      <c r="J7" s="12"/>
      <c r="K7" s="12"/>
      <c r="L7" s="12"/>
      <c r="M7" s="12"/>
    </row>
    <row r="8" spans="1:13" ht="19.5" customHeight="1" x14ac:dyDescent="0.2">
      <c r="A8" s="20" t="s">
        <v>13</v>
      </c>
      <c r="B8" s="15" t="s">
        <v>221</v>
      </c>
      <c r="C8" s="16">
        <f>'Detailed Task Plan'!F18</f>
        <v>83</v>
      </c>
      <c r="D8" s="17" t="s">
        <v>216</v>
      </c>
      <c r="E8" s="12"/>
      <c r="F8" s="12"/>
      <c r="G8" s="12"/>
      <c r="H8" s="12"/>
      <c r="I8" s="12"/>
      <c r="J8" s="12"/>
      <c r="K8" s="12"/>
      <c r="L8" s="12"/>
      <c r="M8" s="12"/>
    </row>
    <row r="9" spans="1:13" ht="19.5" customHeight="1" x14ac:dyDescent="0.2">
      <c r="A9" s="21" t="s">
        <v>14</v>
      </c>
      <c r="B9" s="15" t="s">
        <v>222</v>
      </c>
      <c r="C9" s="16">
        <f>'Detailed Task Plan'!F28</f>
        <v>69</v>
      </c>
      <c r="D9" s="17" t="s">
        <v>15</v>
      </c>
      <c r="E9" s="12"/>
      <c r="F9" s="12"/>
      <c r="G9" s="12"/>
      <c r="H9" s="12"/>
      <c r="I9" s="12"/>
      <c r="J9" s="12"/>
      <c r="K9" s="12"/>
      <c r="L9" s="12"/>
      <c r="M9" s="12"/>
    </row>
    <row r="10" spans="1:13" ht="19.5" customHeight="1" x14ac:dyDescent="0.2">
      <c r="A10" s="22" t="s">
        <v>16</v>
      </c>
      <c r="B10" s="15" t="s">
        <v>224</v>
      </c>
      <c r="C10" s="16">
        <f>'Detailed Task Plan'!F32</f>
        <v>9</v>
      </c>
      <c r="D10" s="17" t="s">
        <v>17</v>
      </c>
      <c r="E10" s="12"/>
      <c r="F10" s="12"/>
      <c r="G10" s="12"/>
      <c r="H10" s="12"/>
      <c r="I10" s="12"/>
      <c r="J10" s="12"/>
      <c r="K10" s="12"/>
      <c r="L10" s="12"/>
      <c r="M10" s="12"/>
    </row>
    <row r="11" spans="1:13" ht="19.5" customHeight="1" x14ac:dyDescent="0.2">
      <c r="A11" s="23" t="s">
        <v>18</v>
      </c>
      <c r="B11" s="15" t="s">
        <v>223</v>
      </c>
      <c r="C11" s="16">
        <f>'Detailed Task Plan'!F37</f>
        <v>30</v>
      </c>
      <c r="D11" s="17" t="s">
        <v>239</v>
      </c>
      <c r="E11" s="12"/>
      <c r="F11" s="12"/>
      <c r="G11" s="12"/>
      <c r="H11" s="12"/>
      <c r="I11" s="12"/>
      <c r="J11" s="12"/>
      <c r="K11" s="12"/>
      <c r="L11" s="12"/>
      <c r="M11" s="12"/>
    </row>
    <row r="12" spans="1:13" ht="9.75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ht="21.75" customHeight="1" x14ac:dyDescent="0.2">
      <c r="A13" s="9" t="s">
        <v>19</v>
      </c>
      <c r="B13" s="9"/>
      <c r="C13" s="9"/>
      <c r="D13" s="9"/>
      <c r="E13" s="12"/>
      <c r="F13" s="12"/>
      <c r="G13" s="12"/>
      <c r="H13" s="12"/>
      <c r="I13" s="12"/>
      <c r="J13" s="12"/>
      <c r="K13" s="12"/>
      <c r="L13" s="12"/>
      <c r="M13" s="12"/>
    </row>
    <row r="14" spans="1:13" ht="21.75" customHeight="1" x14ac:dyDescent="0.2">
      <c r="A14" s="13" t="s">
        <v>20</v>
      </c>
      <c r="B14" s="13" t="s">
        <v>21</v>
      </c>
      <c r="C14" s="13" t="s">
        <v>22</v>
      </c>
      <c r="D14" s="13" t="s">
        <v>23</v>
      </c>
      <c r="E14" s="13" t="s">
        <v>24</v>
      </c>
      <c r="F14" s="12"/>
      <c r="G14" s="12"/>
      <c r="H14" s="12"/>
      <c r="I14" s="12"/>
      <c r="J14" s="12"/>
      <c r="K14" s="12"/>
      <c r="L14" s="12"/>
      <c r="M14" s="12"/>
    </row>
    <row r="15" spans="1:13" ht="19.5" customHeight="1" x14ac:dyDescent="0.2">
      <c r="A15" s="16" t="s">
        <v>25</v>
      </c>
      <c r="B15" s="16" t="s">
        <v>26</v>
      </c>
      <c r="C15" s="24">
        <f>'Detailed Task Plan'!G44</f>
        <v>24</v>
      </c>
      <c r="D15" s="15" t="s">
        <v>27</v>
      </c>
      <c r="E15" s="17" t="s">
        <v>28</v>
      </c>
      <c r="F15" s="12"/>
      <c r="G15" s="12"/>
      <c r="H15" s="12"/>
      <c r="I15" s="12"/>
      <c r="J15" s="12"/>
      <c r="K15" s="12"/>
      <c r="L15" s="12"/>
      <c r="M15" s="12"/>
    </row>
    <row r="16" spans="1:13" ht="19.5" customHeight="1" x14ac:dyDescent="0.2">
      <c r="A16" s="25" t="s">
        <v>29</v>
      </c>
      <c r="B16" s="25" t="s">
        <v>30</v>
      </c>
      <c r="C16" s="24">
        <f>'Detailed Task Plan'!H44</f>
        <v>200</v>
      </c>
      <c r="D16" s="15" t="s">
        <v>31</v>
      </c>
      <c r="E16" s="17" t="s">
        <v>32</v>
      </c>
      <c r="F16" s="12"/>
      <c r="G16" s="12"/>
      <c r="H16" s="12"/>
      <c r="I16" s="12"/>
      <c r="J16" s="12"/>
      <c r="K16" s="12"/>
      <c r="L16" s="12"/>
      <c r="M16" s="12"/>
    </row>
    <row r="17" spans="1:13" ht="19.5" customHeight="1" x14ac:dyDescent="0.2">
      <c r="A17" s="26" t="s">
        <v>33</v>
      </c>
      <c r="B17" s="26" t="s">
        <v>34</v>
      </c>
      <c r="C17" s="24">
        <f>'Detailed Task Plan'!I44</f>
        <v>135</v>
      </c>
      <c r="D17" s="15" t="s">
        <v>35</v>
      </c>
      <c r="E17" s="17" t="s">
        <v>36</v>
      </c>
      <c r="F17" s="12"/>
      <c r="G17" s="12"/>
      <c r="H17" s="12"/>
      <c r="I17" s="12"/>
      <c r="J17" s="12"/>
      <c r="K17" s="12"/>
      <c r="L17" s="12"/>
      <c r="M17" s="12"/>
    </row>
    <row r="18" spans="1:13" ht="19.5" customHeight="1" x14ac:dyDescent="0.2">
      <c r="A18" s="27" t="s">
        <v>37</v>
      </c>
      <c r="B18" s="27" t="s">
        <v>38</v>
      </c>
      <c r="C18" s="24">
        <f>'Detailed Task Plan'!J44</f>
        <v>45</v>
      </c>
      <c r="D18" s="15" t="s">
        <v>39</v>
      </c>
      <c r="E18" s="17" t="s">
        <v>40</v>
      </c>
      <c r="F18" s="12"/>
      <c r="G18" s="12"/>
      <c r="H18" s="12"/>
      <c r="I18" s="12"/>
      <c r="J18" s="12"/>
      <c r="K18" s="12"/>
      <c r="L18" s="12"/>
      <c r="M18" s="12"/>
    </row>
    <row r="19" spans="1:13" ht="19.5" customHeight="1" x14ac:dyDescent="0.2">
      <c r="A19" s="28" t="s">
        <v>41</v>
      </c>
      <c r="B19" s="28" t="s">
        <v>42</v>
      </c>
      <c r="C19" s="24">
        <f>'Detailed Task Plan'!K44</f>
        <v>184</v>
      </c>
      <c r="D19" s="15" t="s">
        <v>43</v>
      </c>
      <c r="E19" s="17" t="s">
        <v>44</v>
      </c>
      <c r="F19" s="12"/>
      <c r="G19" s="12"/>
      <c r="H19" s="12"/>
      <c r="I19" s="12"/>
      <c r="J19" s="12"/>
      <c r="K19" s="12"/>
      <c r="L19" s="12"/>
      <c r="M19" s="12"/>
    </row>
    <row r="20" spans="1:13" ht="19.5" customHeight="1" x14ac:dyDescent="0.2">
      <c r="A20" s="29" t="s">
        <v>45</v>
      </c>
      <c r="B20" s="29" t="s">
        <v>46</v>
      </c>
      <c r="C20" s="24">
        <f>'Detailed Task Plan'!L44</f>
        <v>89</v>
      </c>
      <c r="D20" s="15" t="s">
        <v>47</v>
      </c>
      <c r="E20" s="17" t="s">
        <v>48</v>
      </c>
      <c r="F20" s="12"/>
      <c r="G20" s="12"/>
      <c r="H20" s="12"/>
      <c r="I20" s="12"/>
      <c r="J20" s="12"/>
      <c r="K20" s="12"/>
      <c r="L20" s="12"/>
      <c r="M20" s="12"/>
    </row>
    <row r="21" spans="1:13" ht="21.75" customHeight="1" x14ac:dyDescent="0.2">
      <c r="A21" s="8" t="s">
        <v>49</v>
      </c>
      <c r="B21" s="8"/>
      <c r="C21" s="30">
        <f>SUM(C15:C20)</f>
        <v>677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 ht="30" customHeight="1" x14ac:dyDescent="0.2">
      <c r="A23" s="7" t="s">
        <v>217</v>
      </c>
      <c r="B23" s="7"/>
      <c r="C23" s="7"/>
      <c r="D23" s="7"/>
      <c r="E23" s="12"/>
      <c r="F23" s="12"/>
      <c r="G23" s="12"/>
      <c r="H23" s="12"/>
      <c r="I23" s="12"/>
      <c r="J23" s="12"/>
      <c r="K23" s="12"/>
      <c r="L23" s="12"/>
      <c r="M23" s="12"/>
    </row>
    <row r="24" spans="1:13" ht="18" customHeight="1" x14ac:dyDescent="0.2">
      <c r="A24" s="7"/>
      <c r="B24" s="7"/>
      <c r="C24" s="7"/>
      <c r="D24" s="7"/>
      <c r="E24" s="12"/>
      <c r="F24" s="12"/>
      <c r="G24" s="12"/>
      <c r="H24" s="12"/>
      <c r="I24" s="12"/>
      <c r="J24" s="12"/>
      <c r="K24" s="12"/>
      <c r="L24" s="12"/>
      <c r="M24" s="12"/>
    </row>
    <row r="25" spans="1:13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13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13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3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3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1:13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1:13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1:13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13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1:13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spans="1:13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13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13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3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</sheetData>
  <mergeCells count="5">
    <mergeCell ref="A1:L1"/>
    <mergeCell ref="A2:L2"/>
    <mergeCell ref="A13:D13"/>
    <mergeCell ref="A21:B21"/>
    <mergeCell ref="A23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B4F10"/>
  </sheetPr>
  <dimension ref="A1:AT75"/>
  <sheetViews>
    <sheetView showGridLines="0" zoomScale="125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16" sqref="E16"/>
    </sheetView>
  </sheetViews>
  <sheetFormatPr baseColWidth="10" defaultColWidth="8.6640625" defaultRowHeight="15" x14ac:dyDescent="0.2"/>
  <cols>
    <col min="1" max="1" width="5" customWidth="1"/>
    <col min="2" max="2" width="16" customWidth="1"/>
    <col min="3" max="3" width="40" customWidth="1"/>
    <col min="4" max="4" width="8.83203125" bestFit="1" customWidth="1"/>
    <col min="5" max="5" width="11.5" customWidth="1"/>
    <col min="6" max="27" width="3.5" customWidth="1"/>
    <col min="28" max="28" width="3.1640625" customWidth="1"/>
    <col min="29" max="29" width="3.33203125" customWidth="1"/>
    <col min="30" max="30" width="3.1640625" customWidth="1"/>
    <col min="31" max="31" width="3.5" customWidth="1"/>
    <col min="32" max="33" width="3.1640625" customWidth="1"/>
    <col min="34" max="37" width="2.6640625" bestFit="1" customWidth="1"/>
  </cols>
  <sheetData>
    <row r="1" spans="1:46" ht="25.5" customHeight="1" x14ac:dyDescent="0.2"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12"/>
      <c r="AM1" s="12"/>
      <c r="AN1" s="12"/>
      <c r="AO1" s="12"/>
      <c r="AP1" s="12"/>
      <c r="AQ1" s="12"/>
      <c r="AR1" s="12"/>
      <c r="AS1" s="12"/>
      <c r="AT1" s="12"/>
    </row>
    <row r="2" spans="1:46" ht="18" customHeight="1" x14ac:dyDescent="0.2">
      <c r="F2" s="5" t="s">
        <v>230</v>
      </c>
      <c r="G2" s="5"/>
      <c r="H2" s="5"/>
      <c r="I2" s="5"/>
      <c r="J2" s="112" t="s">
        <v>231</v>
      </c>
      <c r="K2" s="113"/>
      <c r="L2" s="113"/>
      <c r="M2" s="113"/>
      <c r="N2" s="4" t="s">
        <v>232</v>
      </c>
      <c r="O2" s="114"/>
      <c r="P2" s="114"/>
      <c r="Q2" s="115"/>
      <c r="R2" s="3" t="s">
        <v>233</v>
      </c>
      <c r="S2" s="3"/>
      <c r="T2" s="3"/>
      <c r="U2" s="3"/>
      <c r="V2" s="2" t="s">
        <v>234</v>
      </c>
      <c r="W2" s="118"/>
      <c r="X2" s="118"/>
      <c r="Y2" s="119"/>
      <c r="Z2" s="1" t="s">
        <v>235</v>
      </c>
      <c r="AA2" s="120"/>
      <c r="AB2" s="120"/>
      <c r="AC2" s="121"/>
      <c r="AD2" s="123" t="s">
        <v>236</v>
      </c>
      <c r="AE2" s="124"/>
      <c r="AF2" s="124"/>
      <c r="AG2" s="124"/>
      <c r="AH2" s="125" t="s">
        <v>237</v>
      </c>
      <c r="AI2" s="126"/>
      <c r="AJ2" s="126"/>
      <c r="AK2" s="126"/>
      <c r="AL2" s="12"/>
      <c r="AM2" s="12"/>
      <c r="AN2" s="12"/>
      <c r="AO2" s="12"/>
      <c r="AP2" s="12"/>
      <c r="AQ2" s="12"/>
      <c r="AR2" s="12"/>
      <c r="AS2" s="12"/>
      <c r="AT2" s="12"/>
    </row>
    <row r="3" spans="1:46" ht="25.5" customHeight="1" x14ac:dyDescent="0.2">
      <c r="A3" s="13" t="s">
        <v>50</v>
      </c>
      <c r="B3" s="13" t="s">
        <v>2</v>
      </c>
      <c r="C3" s="13" t="s">
        <v>51</v>
      </c>
      <c r="D3" s="13" t="s">
        <v>80</v>
      </c>
      <c r="E3" s="13" t="s">
        <v>81</v>
      </c>
      <c r="F3" s="31" t="s">
        <v>226</v>
      </c>
      <c r="G3" s="31" t="s">
        <v>227</v>
      </c>
      <c r="H3" s="31" t="s">
        <v>228</v>
      </c>
      <c r="I3" s="31" t="s">
        <v>229</v>
      </c>
      <c r="J3" s="31" t="s">
        <v>226</v>
      </c>
      <c r="K3" s="31" t="s">
        <v>227</v>
      </c>
      <c r="L3" s="31" t="s">
        <v>228</v>
      </c>
      <c r="M3" s="31" t="s">
        <v>229</v>
      </c>
      <c r="N3" s="31" t="s">
        <v>226</v>
      </c>
      <c r="O3" s="31" t="s">
        <v>227</v>
      </c>
      <c r="P3" s="31" t="s">
        <v>228</v>
      </c>
      <c r="Q3" s="31" t="s">
        <v>229</v>
      </c>
      <c r="R3" s="31" t="s">
        <v>226</v>
      </c>
      <c r="S3" s="31" t="s">
        <v>227</v>
      </c>
      <c r="T3" s="31" t="s">
        <v>228</v>
      </c>
      <c r="U3" s="31" t="s">
        <v>229</v>
      </c>
      <c r="V3" s="31" t="s">
        <v>226</v>
      </c>
      <c r="W3" s="31" t="s">
        <v>227</v>
      </c>
      <c r="X3" s="31" t="s">
        <v>228</v>
      </c>
      <c r="Y3" s="31" t="s">
        <v>229</v>
      </c>
      <c r="Z3" s="31" t="s">
        <v>226</v>
      </c>
      <c r="AA3" s="31" t="s">
        <v>227</v>
      </c>
      <c r="AB3" s="31" t="s">
        <v>228</v>
      </c>
      <c r="AC3" s="31" t="s">
        <v>229</v>
      </c>
      <c r="AD3" s="31" t="s">
        <v>226</v>
      </c>
      <c r="AE3" s="31" t="s">
        <v>227</v>
      </c>
      <c r="AF3" s="31" t="s">
        <v>228</v>
      </c>
      <c r="AG3" s="31" t="s">
        <v>229</v>
      </c>
      <c r="AH3" s="31" t="s">
        <v>226</v>
      </c>
      <c r="AI3" s="31" t="s">
        <v>227</v>
      </c>
      <c r="AJ3" s="31" t="s">
        <v>228</v>
      </c>
      <c r="AK3" s="31" t="s">
        <v>229</v>
      </c>
      <c r="AL3" s="12"/>
      <c r="AM3" s="12"/>
      <c r="AN3" s="12"/>
      <c r="AO3" s="12"/>
      <c r="AP3" s="12"/>
      <c r="AQ3" s="12"/>
      <c r="AR3" s="12"/>
      <c r="AS3" s="12"/>
      <c r="AT3" s="12"/>
    </row>
    <row r="4" spans="1:46" ht="15.75" customHeight="1" x14ac:dyDescent="0.2">
      <c r="A4" s="74" t="s">
        <v>203</v>
      </c>
      <c r="B4" s="74"/>
      <c r="C4" s="74"/>
      <c r="D4" s="74"/>
      <c r="E4" s="74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2"/>
      <c r="AM4" s="12"/>
      <c r="AN4" s="12"/>
      <c r="AO4" s="12"/>
      <c r="AP4" s="12"/>
      <c r="AQ4" s="12"/>
      <c r="AR4" s="12"/>
      <c r="AS4" s="12"/>
      <c r="AT4" s="12"/>
    </row>
    <row r="5" spans="1:46" ht="13.5" customHeight="1" x14ac:dyDescent="0.2">
      <c r="A5" s="40">
        <v>1</v>
      </c>
      <c r="B5" s="41" t="s">
        <v>6</v>
      </c>
      <c r="C5" s="17" t="s">
        <v>52</v>
      </c>
      <c r="D5" s="83">
        <v>46176</v>
      </c>
      <c r="E5" s="83">
        <v>46178</v>
      </c>
      <c r="F5" s="33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12"/>
      <c r="AM5" s="12"/>
      <c r="AN5" s="12"/>
      <c r="AO5" s="12"/>
      <c r="AP5" s="12"/>
      <c r="AQ5" s="12"/>
      <c r="AR5" s="12"/>
      <c r="AS5" s="12"/>
      <c r="AT5" s="12"/>
    </row>
    <row r="6" spans="1:46" ht="15.75" customHeight="1" x14ac:dyDescent="0.2">
      <c r="A6" s="75" t="s">
        <v>204</v>
      </c>
      <c r="B6" s="75"/>
      <c r="C6" s="75"/>
      <c r="D6" s="84"/>
      <c r="E6" s="84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2"/>
      <c r="AM6" s="12"/>
      <c r="AN6" s="12"/>
      <c r="AO6" s="12"/>
      <c r="AP6" s="12"/>
      <c r="AQ6" s="12"/>
      <c r="AR6" s="12"/>
      <c r="AS6" s="12"/>
      <c r="AT6" s="12"/>
    </row>
    <row r="7" spans="1:46" ht="13.5" customHeight="1" x14ac:dyDescent="0.2">
      <c r="A7" s="40">
        <v>2</v>
      </c>
      <c r="B7" s="48" t="s">
        <v>9</v>
      </c>
      <c r="C7" s="17" t="s">
        <v>53</v>
      </c>
      <c r="D7" s="83">
        <v>46181</v>
      </c>
      <c r="E7" s="83">
        <v>46185</v>
      </c>
      <c r="F7" s="122"/>
      <c r="G7" s="35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12"/>
      <c r="AM7" s="12"/>
      <c r="AN7" s="12"/>
      <c r="AO7" s="12"/>
      <c r="AP7" s="12"/>
      <c r="AQ7" s="12"/>
      <c r="AR7" s="12"/>
      <c r="AS7" s="12"/>
      <c r="AT7" s="12"/>
    </row>
    <row r="8" spans="1:46" ht="13.5" customHeight="1" x14ac:dyDescent="0.2">
      <c r="A8" s="40">
        <v>3</v>
      </c>
      <c r="B8" s="48" t="s">
        <v>9</v>
      </c>
      <c r="C8" s="17" t="s">
        <v>210</v>
      </c>
      <c r="D8" s="83">
        <v>46181</v>
      </c>
      <c r="E8" s="83">
        <v>46182</v>
      </c>
      <c r="F8" s="122"/>
      <c r="G8" s="35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12"/>
      <c r="AM8" s="12"/>
      <c r="AN8" s="12"/>
      <c r="AO8" s="12"/>
      <c r="AP8" s="12"/>
      <c r="AQ8" s="12"/>
      <c r="AR8" s="12"/>
      <c r="AS8" s="12"/>
      <c r="AT8" s="12"/>
    </row>
    <row r="9" spans="1:46" ht="13.5" customHeight="1" x14ac:dyDescent="0.2">
      <c r="A9" s="40">
        <v>4</v>
      </c>
      <c r="B9" s="48" t="s">
        <v>9</v>
      </c>
      <c r="C9" s="17" t="s">
        <v>54</v>
      </c>
      <c r="D9" s="83">
        <v>46188</v>
      </c>
      <c r="E9" s="83">
        <v>46192</v>
      </c>
      <c r="F9" s="34"/>
      <c r="G9" s="122"/>
      <c r="H9" s="35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12"/>
      <c r="AM9" s="12"/>
      <c r="AN9" s="12"/>
      <c r="AO9" s="12"/>
      <c r="AP9" s="12"/>
      <c r="AQ9" s="12"/>
      <c r="AR9" s="12"/>
      <c r="AS9" s="12"/>
      <c r="AT9" s="12"/>
    </row>
    <row r="10" spans="1:46" ht="13.5" customHeight="1" x14ac:dyDescent="0.2">
      <c r="A10" s="40">
        <v>5</v>
      </c>
      <c r="B10" s="48" t="s">
        <v>9</v>
      </c>
      <c r="C10" s="17" t="s">
        <v>55</v>
      </c>
      <c r="D10" s="83">
        <v>46190</v>
      </c>
      <c r="E10" s="83">
        <v>46196</v>
      </c>
      <c r="F10" s="34"/>
      <c r="G10" s="34"/>
      <c r="H10" s="35"/>
      <c r="I10" s="35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12"/>
      <c r="AM10" s="12"/>
      <c r="AN10" s="12"/>
      <c r="AO10" s="12"/>
      <c r="AP10" s="12"/>
      <c r="AQ10" s="12"/>
      <c r="AR10" s="12"/>
      <c r="AS10" s="12"/>
      <c r="AT10" s="12"/>
    </row>
    <row r="11" spans="1:46" ht="13.5" customHeight="1" x14ac:dyDescent="0.2">
      <c r="A11" s="40">
        <v>6</v>
      </c>
      <c r="B11" s="48" t="s">
        <v>9</v>
      </c>
      <c r="C11" s="17" t="s">
        <v>56</v>
      </c>
      <c r="D11" s="83">
        <v>46197</v>
      </c>
      <c r="E11" s="83">
        <v>46203</v>
      </c>
      <c r="F11" s="34"/>
      <c r="G11" s="34"/>
      <c r="H11" s="122"/>
      <c r="I11" s="35"/>
      <c r="J11" s="35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12"/>
      <c r="AM11" s="12"/>
      <c r="AN11" s="12"/>
      <c r="AO11" s="12"/>
      <c r="AP11" s="12"/>
      <c r="AQ11" s="12"/>
      <c r="AR11" s="12"/>
      <c r="AS11" s="12"/>
      <c r="AT11" s="12"/>
    </row>
    <row r="12" spans="1:46" ht="15.75" customHeight="1" x14ac:dyDescent="0.2">
      <c r="A12" s="76" t="s">
        <v>205</v>
      </c>
      <c r="B12" s="76"/>
      <c r="C12" s="76"/>
      <c r="D12" s="85"/>
      <c r="E12" s="85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2"/>
      <c r="AM12" s="12"/>
      <c r="AN12" s="12"/>
      <c r="AO12" s="12"/>
      <c r="AP12" s="12"/>
      <c r="AQ12" s="12"/>
      <c r="AR12" s="12"/>
      <c r="AS12" s="12"/>
      <c r="AT12" s="12"/>
    </row>
    <row r="13" spans="1:46" ht="13.5" customHeight="1" x14ac:dyDescent="0.2">
      <c r="A13" s="40">
        <v>7</v>
      </c>
      <c r="B13" s="49" t="s">
        <v>11</v>
      </c>
      <c r="C13" s="17" t="s">
        <v>211</v>
      </c>
      <c r="D13" s="83">
        <v>46204</v>
      </c>
      <c r="E13" s="83">
        <v>46206</v>
      </c>
      <c r="F13" s="34"/>
      <c r="G13" s="34"/>
      <c r="H13" s="34"/>
      <c r="I13" s="34"/>
      <c r="J13" s="36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12"/>
      <c r="AM13" s="12"/>
      <c r="AN13" s="12"/>
      <c r="AO13" s="12"/>
      <c r="AP13" s="12"/>
      <c r="AQ13" s="12"/>
      <c r="AR13" s="12"/>
      <c r="AS13" s="12"/>
      <c r="AT13" s="12"/>
    </row>
    <row r="14" spans="1:46" ht="13.5" customHeight="1" x14ac:dyDescent="0.2">
      <c r="A14" s="40">
        <v>8</v>
      </c>
      <c r="B14" s="49" t="s">
        <v>11</v>
      </c>
      <c r="C14" s="17" t="s">
        <v>57</v>
      </c>
      <c r="D14" s="83">
        <v>46209</v>
      </c>
      <c r="E14" s="83">
        <v>46213</v>
      </c>
      <c r="F14" s="34"/>
      <c r="G14" s="34"/>
      <c r="H14" s="34"/>
      <c r="I14" s="34"/>
      <c r="J14" s="111"/>
      <c r="K14" s="36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12"/>
      <c r="AM14" s="12"/>
      <c r="AN14" s="12"/>
      <c r="AO14" s="12"/>
      <c r="AP14" s="12"/>
      <c r="AQ14" s="12"/>
      <c r="AR14" s="12"/>
      <c r="AS14" s="12"/>
      <c r="AT14" s="12"/>
    </row>
    <row r="15" spans="1:46" ht="13.5" customHeight="1" x14ac:dyDescent="0.2">
      <c r="A15" s="40">
        <v>9</v>
      </c>
      <c r="B15" s="49" t="s">
        <v>11</v>
      </c>
      <c r="C15" s="17" t="s">
        <v>58</v>
      </c>
      <c r="D15" s="83">
        <v>46213</v>
      </c>
      <c r="E15" s="83">
        <v>46233</v>
      </c>
      <c r="F15" s="34"/>
      <c r="G15" s="34"/>
      <c r="H15" s="34"/>
      <c r="I15" s="34"/>
      <c r="J15" s="111"/>
      <c r="K15" s="111"/>
      <c r="L15" s="36"/>
      <c r="M15" s="36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12"/>
      <c r="AM15" s="12"/>
      <c r="AN15" s="12"/>
      <c r="AO15" s="12"/>
      <c r="AP15" s="12"/>
      <c r="AQ15" s="12"/>
      <c r="AR15" s="12"/>
      <c r="AS15" s="12"/>
      <c r="AT15" s="12"/>
    </row>
    <row r="16" spans="1:46" ht="13.5" customHeight="1" x14ac:dyDescent="0.2">
      <c r="A16" s="40">
        <v>10</v>
      </c>
      <c r="B16" s="49" t="s">
        <v>11</v>
      </c>
      <c r="C16" s="17" t="s">
        <v>59</v>
      </c>
      <c r="D16" s="83">
        <v>46234</v>
      </c>
      <c r="E16" s="83">
        <v>46234</v>
      </c>
      <c r="F16" s="34"/>
      <c r="G16" s="34"/>
      <c r="H16" s="34"/>
      <c r="I16" s="34"/>
      <c r="J16" s="34"/>
      <c r="K16" s="34"/>
      <c r="L16" s="111"/>
      <c r="M16" s="36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12"/>
      <c r="AM16" s="12"/>
      <c r="AN16" s="12"/>
      <c r="AO16" s="12"/>
      <c r="AP16" s="12"/>
      <c r="AQ16" s="12"/>
      <c r="AR16" s="12"/>
      <c r="AS16" s="12"/>
      <c r="AT16" s="12"/>
    </row>
    <row r="17" spans="1:46" ht="15.75" customHeight="1" x14ac:dyDescent="0.2">
      <c r="A17" s="77" t="s">
        <v>206</v>
      </c>
      <c r="B17" s="77"/>
      <c r="C17" s="77"/>
      <c r="D17" s="86"/>
      <c r="E17" s="86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2"/>
      <c r="AM17" s="12"/>
      <c r="AN17" s="12"/>
      <c r="AO17" s="12"/>
      <c r="AP17" s="12"/>
      <c r="AQ17" s="12"/>
      <c r="AR17" s="12"/>
      <c r="AS17" s="12"/>
      <c r="AT17" s="12"/>
    </row>
    <row r="18" spans="1:46" ht="13.5" customHeight="1" x14ac:dyDescent="0.2">
      <c r="A18" s="40">
        <v>11</v>
      </c>
      <c r="B18" s="52" t="s">
        <v>13</v>
      </c>
      <c r="C18" s="17" t="s">
        <v>60</v>
      </c>
      <c r="D18" s="83">
        <v>46237</v>
      </c>
      <c r="E18" s="83">
        <v>46239</v>
      </c>
      <c r="F18" s="34"/>
      <c r="G18" s="34"/>
      <c r="H18" s="34"/>
      <c r="I18" s="34"/>
      <c r="J18" s="34"/>
      <c r="K18" s="34"/>
      <c r="L18" s="34"/>
      <c r="M18" s="34"/>
      <c r="N18" s="37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12"/>
      <c r="AM18" s="12"/>
      <c r="AN18" s="12"/>
      <c r="AO18" s="12"/>
      <c r="AP18" s="12"/>
      <c r="AQ18" s="12"/>
      <c r="AR18" s="12"/>
      <c r="AS18" s="12"/>
      <c r="AT18" s="12"/>
    </row>
    <row r="19" spans="1:46" ht="13.5" customHeight="1" x14ac:dyDescent="0.2">
      <c r="A19" s="40">
        <v>12</v>
      </c>
      <c r="B19" s="52" t="s">
        <v>13</v>
      </c>
      <c r="C19" s="17" t="s">
        <v>61</v>
      </c>
      <c r="D19" s="83">
        <v>46240</v>
      </c>
      <c r="E19" s="83">
        <v>46245</v>
      </c>
      <c r="F19" s="34"/>
      <c r="G19" s="34"/>
      <c r="H19" s="34"/>
      <c r="I19" s="34"/>
      <c r="J19" s="34"/>
      <c r="K19" s="34"/>
      <c r="L19" s="34"/>
      <c r="M19" s="34"/>
      <c r="N19" s="37"/>
      <c r="O19" s="37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12"/>
      <c r="AM19" s="12"/>
      <c r="AN19" s="12"/>
      <c r="AO19" s="12"/>
      <c r="AP19" s="12"/>
      <c r="AQ19" s="12"/>
      <c r="AR19" s="12"/>
      <c r="AS19" s="12"/>
      <c r="AT19" s="12"/>
    </row>
    <row r="20" spans="1:46" ht="13.5" customHeight="1" x14ac:dyDescent="0.2">
      <c r="A20" s="40">
        <v>13</v>
      </c>
      <c r="B20" s="52" t="s">
        <v>13</v>
      </c>
      <c r="C20" s="17" t="s">
        <v>62</v>
      </c>
      <c r="D20" s="83">
        <v>46246</v>
      </c>
      <c r="E20" s="83">
        <v>46255</v>
      </c>
      <c r="F20" s="34"/>
      <c r="G20" s="34"/>
      <c r="H20" s="34"/>
      <c r="I20" s="34"/>
      <c r="J20" s="34"/>
      <c r="K20" s="34"/>
      <c r="L20" s="34"/>
      <c r="M20" s="34"/>
      <c r="N20" s="34"/>
      <c r="O20" s="37"/>
      <c r="P20" s="37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12"/>
      <c r="AM20" s="12"/>
      <c r="AN20" s="12"/>
      <c r="AO20" s="12"/>
      <c r="AP20" s="12"/>
      <c r="AQ20" s="12"/>
      <c r="AR20" s="12"/>
      <c r="AS20" s="12"/>
      <c r="AT20" s="12"/>
    </row>
    <row r="21" spans="1:46" ht="13.5" customHeight="1" x14ac:dyDescent="0.2">
      <c r="A21" s="40">
        <v>14</v>
      </c>
      <c r="B21" s="52" t="s">
        <v>13</v>
      </c>
      <c r="C21" s="17" t="s">
        <v>63</v>
      </c>
      <c r="D21" s="83">
        <v>46258</v>
      </c>
      <c r="E21" s="83">
        <v>46269</v>
      </c>
      <c r="F21" s="34"/>
      <c r="G21" s="34"/>
      <c r="H21" s="34"/>
      <c r="I21" s="34"/>
      <c r="J21" s="34"/>
      <c r="K21" s="34"/>
      <c r="L21" s="34"/>
      <c r="M21" s="34"/>
      <c r="N21" s="116"/>
      <c r="O21" s="117"/>
      <c r="P21" s="117"/>
      <c r="Q21" s="37"/>
      <c r="R21" s="37"/>
      <c r="S21" s="116"/>
      <c r="T21" s="116"/>
      <c r="U21" s="116"/>
      <c r="V21" s="116"/>
      <c r="W21" s="116"/>
      <c r="X21" s="116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12"/>
      <c r="AM21" s="12"/>
      <c r="AN21" s="12"/>
      <c r="AO21" s="12"/>
      <c r="AP21" s="12"/>
      <c r="AQ21" s="12"/>
      <c r="AR21" s="12"/>
      <c r="AS21" s="12"/>
      <c r="AT21" s="12"/>
    </row>
    <row r="22" spans="1:46" ht="13.5" customHeight="1" x14ac:dyDescent="0.2">
      <c r="A22" s="40">
        <v>15</v>
      </c>
      <c r="B22" s="52" t="s">
        <v>13</v>
      </c>
      <c r="C22" s="17" t="s">
        <v>64</v>
      </c>
      <c r="D22" s="83">
        <v>46272</v>
      </c>
      <c r="E22" s="83">
        <v>46290</v>
      </c>
      <c r="F22" s="34"/>
      <c r="G22" s="34"/>
      <c r="H22" s="34"/>
      <c r="I22" s="34"/>
      <c r="J22" s="34"/>
      <c r="K22" s="34"/>
      <c r="L22" s="34"/>
      <c r="M22" s="34"/>
      <c r="N22" s="116"/>
      <c r="O22" s="116"/>
      <c r="P22" s="117"/>
      <c r="Q22" s="117"/>
      <c r="R22" s="117"/>
      <c r="S22" s="132"/>
      <c r="T22" s="37"/>
      <c r="U22" s="37"/>
      <c r="V22" s="117"/>
      <c r="W22" s="116"/>
      <c r="X22" s="116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12"/>
      <c r="AM22" s="12"/>
      <c r="AN22" s="12"/>
      <c r="AO22" s="12"/>
      <c r="AP22" s="12"/>
      <c r="AQ22" s="12"/>
      <c r="AR22" s="12"/>
      <c r="AS22" s="12"/>
      <c r="AT22" s="12"/>
    </row>
    <row r="23" spans="1:46" ht="13.5" customHeight="1" x14ac:dyDescent="0.2">
      <c r="A23" s="40">
        <v>16</v>
      </c>
      <c r="B23" s="52" t="s">
        <v>13</v>
      </c>
      <c r="C23" s="17" t="s">
        <v>65</v>
      </c>
      <c r="D23" s="83">
        <v>46293</v>
      </c>
      <c r="E23" s="83">
        <v>46297</v>
      </c>
      <c r="F23" s="34"/>
      <c r="G23" s="34"/>
      <c r="H23" s="34"/>
      <c r="I23" s="34"/>
      <c r="J23" s="34"/>
      <c r="K23" s="34"/>
      <c r="L23" s="34"/>
      <c r="M23" s="34"/>
      <c r="N23" s="116"/>
      <c r="O23" s="116"/>
      <c r="P23" s="116"/>
      <c r="Q23" s="117"/>
      <c r="R23" s="117"/>
      <c r="S23" s="131"/>
      <c r="T23" s="116"/>
      <c r="U23" s="37"/>
      <c r="V23" s="37"/>
      <c r="W23" s="116"/>
      <c r="X23" s="116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12"/>
      <c r="AM23" s="12"/>
      <c r="AN23" s="12"/>
      <c r="AO23" s="12"/>
      <c r="AP23" s="12"/>
      <c r="AQ23" s="12"/>
      <c r="AR23" s="12"/>
      <c r="AS23" s="12"/>
      <c r="AT23" s="12"/>
    </row>
    <row r="24" spans="1:46" ht="13.5" customHeight="1" x14ac:dyDescent="0.2">
      <c r="A24" s="40">
        <v>17</v>
      </c>
      <c r="B24" s="52" t="s">
        <v>13</v>
      </c>
      <c r="C24" s="17" t="s">
        <v>66</v>
      </c>
      <c r="D24" s="83">
        <v>46300</v>
      </c>
      <c r="E24" s="83">
        <v>46311</v>
      </c>
      <c r="F24" s="34"/>
      <c r="G24" s="34"/>
      <c r="H24" s="34"/>
      <c r="I24" s="34"/>
      <c r="J24" s="34"/>
      <c r="K24" s="34"/>
      <c r="L24" s="34"/>
      <c r="M24" s="34"/>
      <c r="N24" s="116"/>
      <c r="O24" s="116"/>
      <c r="P24" s="116"/>
      <c r="Q24" s="116"/>
      <c r="R24" s="117"/>
      <c r="S24" s="117"/>
      <c r="T24" s="117"/>
      <c r="U24" s="116"/>
      <c r="V24" s="37"/>
      <c r="W24" s="37"/>
      <c r="X24" s="116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12"/>
      <c r="AM24" s="12"/>
      <c r="AN24" s="12"/>
      <c r="AO24" s="12"/>
      <c r="AP24" s="12"/>
      <c r="AQ24" s="12"/>
      <c r="AR24" s="12"/>
      <c r="AS24" s="12"/>
      <c r="AT24" s="12"/>
    </row>
    <row r="25" spans="1:46" ht="13.5" customHeight="1" x14ac:dyDescent="0.2">
      <c r="A25" s="40">
        <v>18</v>
      </c>
      <c r="B25" s="52" t="s">
        <v>13</v>
      </c>
      <c r="C25" s="17" t="s">
        <v>212</v>
      </c>
      <c r="D25" s="83">
        <v>46314</v>
      </c>
      <c r="E25" s="83">
        <v>46339</v>
      </c>
      <c r="F25" s="34"/>
      <c r="G25" s="34"/>
      <c r="H25" s="34"/>
      <c r="I25" s="34"/>
      <c r="J25" s="34"/>
      <c r="K25" s="34"/>
      <c r="L25" s="34"/>
      <c r="M25" s="34"/>
      <c r="N25" s="116"/>
      <c r="O25" s="116"/>
      <c r="P25" s="116"/>
      <c r="Q25" s="116"/>
      <c r="R25" s="116"/>
      <c r="S25" s="117"/>
      <c r="T25" s="117"/>
      <c r="U25" s="117"/>
      <c r="V25" s="116"/>
      <c r="W25" s="117"/>
      <c r="X25" s="37"/>
      <c r="Y25" s="37"/>
      <c r="Z25" s="37"/>
      <c r="AA25" s="37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12"/>
      <c r="AM25" s="12"/>
      <c r="AN25" s="12"/>
      <c r="AO25" s="12"/>
      <c r="AP25" s="12"/>
      <c r="AQ25" s="12"/>
      <c r="AR25" s="12"/>
      <c r="AS25" s="12"/>
      <c r="AT25" s="12"/>
    </row>
    <row r="26" spans="1:46" ht="13.5" customHeight="1" x14ac:dyDescent="0.2">
      <c r="A26" s="40">
        <v>19</v>
      </c>
      <c r="B26" s="52" t="s">
        <v>13</v>
      </c>
      <c r="C26" s="17" t="s">
        <v>67</v>
      </c>
      <c r="D26" s="83">
        <v>46342</v>
      </c>
      <c r="E26" s="83">
        <v>46351</v>
      </c>
      <c r="F26" s="34"/>
      <c r="G26" s="34"/>
      <c r="H26" s="34"/>
      <c r="I26" s="34"/>
      <c r="J26" s="34"/>
      <c r="K26" s="34"/>
      <c r="L26" s="34"/>
      <c r="M26" s="34"/>
      <c r="N26" s="116"/>
      <c r="O26" s="116"/>
      <c r="P26" s="116"/>
      <c r="Q26" s="116"/>
      <c r="R26" s="116"/>
      <c r="S26" s="116"/>
      <c r="T26" s="117"/>
      <c r="U26" s="117"/>
      <c r="V26" s="117"/>
      <c r="W26" s="116"/>
      <c r="X26" s="116"/>
      <c r="Y26" s="34"/>
      <c r="Z26" s="34"/>
      <c r="AA26" s="37"/>
      <c r="AB26" s="37"/>
      <c r="AC26" s="37"/>
      <c r="AD26" s="34"/>
      <c r="AE26" s="34"/>
      <c r="AF26" s="34"/>
      <c r="AG26" s="34"/>
      <c r="AH26" s="34"/>
      <c r="AI26" s="34"/>
      <c r="AJ26" s="34"/>
      <c r="AK26" s="34"/>
      <c r="AL26" s="12"/>
      <c r="AM26" s="12"/>
      <c r="AN26" s="12"/>
      <c r="AO26" s="12"/>
      <c r="AP26" s="12"/>
      <c r="AQ26" s="12"/>
      <c r="AR26" s="12"/>
      <c r="AS26" s="12"/>
      <c r="AT26" s="12"/>
    </row>
    <row r="27" spans="1:46" ht="13.5" customHeight="1" x14ac:dyDescent="0.2">
      <c r="A27" s="78" t="s">
        <v>207</v>
      </c>
      <c r="B27" s="78"/>
      <c r="C27" s="78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129"/>
      <c r="AB27" s="129"/>
      <c r="AC27" s="129"/>
      <c r="AD27" s="87"/>
      <c r="AE27" s="87"/>
      <c r="AF27" s="87"/>
      <c r="AG27" s="87"/>
      <c r="AH27" s="87"/>
      <c r="AI27" s="87"/>
      <c r="AJ27" s="87"/>
      <c r="AK27" s="87"/>
      <c r="AL27" s="12"/>
      <c r="AM27" s="12"/>
      <c r="AN27" s="12"/>
      <c r="AO27" s="12"/>
      <c r="AP27" s="12"/>
      <c r="AQ27" s="12"/>
      <c r="AR27" s="12"/>
      <c r="AS27" s="12"/>
      <c r="AT27" s="12"/>
    </row>
    <row r="28" spans="1:46" ht="15.75" customHeight="1" x14ac:dyDescent="0.2">
      <c r="A28" s="40">
        <v>21</v>
      </c>
      <c r="B28" s="54" t="s">
        <v>14</v>
      </c>
      <c r="C28" s="17" t="s">
        <v>214</v>
      </c>
      <c r="D28" s="83">
        <v>46340</v>
      </c>
      <c r="E28" s="83">
        <v>46351</v>
      </c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133"/>
      <c r="S28" s="133"/>
      <c r="T28" s="133"/>
      <c r="U28" s="133"/>
      <c r="V28" s="133"/>
      <c r="W28" s="133"/>
      <c r="X28" s="133"/>
      <c r="Y28" s="133"/>
      <c r="Z28" s="134"/>
      <c r="AA28" s="135"/>
      <c r="AB28" s="136"/>
      <c r="AC28" s="136"/>
      <c r="AD28" s="128"/>
      <c r="AE28" s="34"/>
      <c r="AF28" s="34"/>
      <c r="AG28" s="34"/>
      <c r="AH28" s="34"/>
      <c r="AI28" s="34"/>
      <c r="AJ28" s="34"/>
      <c r="AK28" s="34"/>
      <c r="AL28" s="12"/>
      <c r="AM28" s="12"/>
      <c r="AN28" s="12"/>
      <c r="AO28" s="12"/>
      <c r="AP28" s="12"/>
      <c r="AQ28" s="12"/>
      <c r="AR28" s="12"/>
      <c r="AS28" s="12"/>
      <c r="AT28" s="12"/>
    </row>
    <row r="29" spans="1:46" ht="13.5" customHeight="1" x14ac:dyDescent="0.2">
      <c r="A29" s="40">
        <v>22</v>
      </c>
      <c r="B29" s="54" t="s">
        <v>14</v>
      </c>
      <c r="C29" s="17" t="s">
        <v>68</v>
      </c>
      <c r="D29" s="83">
        <v>46270</v>
      </c>
      <c r="E29" s="83">
        <v>46351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127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28"/>
      <c r="AE29" s="34"/>
      <c r="AF29" s="34"/>
      <c r="AG29" s="34"/>
      <c r="AH29" s="34"/>
      <c r="AI29" s="34"/>
      <c r="AJ29" s="34"/>
      <c r="AK29" s="34"/>
      <c r="AL29" s="12"/>
      <c r="AM29" s="12"/>
      <c r="AN29" s="12"/>
      <c r="AO29" s="12"/>
      <c r="AP29" s="12"/>
      <c r="AQ29" s="12"/>
      <c r="AR29" s="12"/>
      <c r="AS29" s="12"/>
      <c r="AT29" s="12"/>
    </row>
    <row r="30" spans="1:46" ht="13.5" customHeight="1" x14ac:dyDescent="0.2">
      <c r="A30" s="40">
        <v>23</v>
      </c>
      <c r="B30" s="54" t="s">
        <v>14</v>
      </c>
      <c r="C30" s="17" t="s">
        <v>69</v>
      </c>
      <c r="D30" s="83">
        <v>46352</v>
      </c>
      <c r="E30" s="83">
        <v>46356</v>
      </c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8"/>
      <c r="AC30" s="130"/>
      <c r="AD30" s="128"/>
      <c r="AE30" s="34"/>
      <c r="AF30" s="34"/>
      <c r="AG30" s="34"/>
      <c r="AH30" s="34"/>
      <c r="AI30" s="34"/>
      <c r="AJ30" s="34"/>
      <c r="AK30" s="34"/>
      <c r="AL30" s="12"/>
      <c r="AM30" s="12"/>
      <c r="AN30" s="12"/>
      <c r="AO30" s="12"/>
      <c r="AP30" s="12"/>
      <c r="AQ30" s="12"/>
      <c r="AR30" s="12"/>
      <c r="AS30" s="12"/>
      <c r="AT30" s="12"/>
    </row>
    <row r="31" spans="1:46" ht="13.5" customHeight="1" x14ac:dyDescent="0.2">
      <c r="A31" s="79" t="s">
        <v>208</v>
      </c>
      <c r="B31" s="79"/>
      <c r="C31" s="79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139"/>
      <c r="AD31" s="140"/>
      <c r="AE31" s="140"/>
      <c r="AF31" s="140"/>
      <c r="AG31" s="88"/>
      <c r="AH31" s="88"/>
      <c r="AI31" s="88"/>
      <c r="AJ31" s="88"/>
      <c r="AK31" s="88"/>
      <c r="AL31" s="12"/>
      <c r="AM31" s="12"/>
      <c r="AN31" s="12"/>
      <c r="AO31" s="12"/>
      <c r="AP31" s="12"/>
      <c r="AQ31" s="12"/>
      <c r="AR31" s="12"/>
      <c r="AS31" s="12"/>
      <c r="AT31" s="12"/>
    </row>
    <row r="32" spans="1:46" ht="15.75" customHeight="1" x14ac:dyDescent="0.2">
      <c r="A32" s="40">
        <v>25</v>
      </c>
      <c r="B32" s="56" t="s">
        <v>16</v>
      </c>
      <c r="C32" s="17" t="s">
        <v>70</v>
      </c>
      <c r="D32" s="83">
        <v>46357</v>
      </c>
      <c r="E32" s="83">
        <v>46359</v>
      </c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127"/>
      <c r="AC32" s="142"/>
      <c r="AD32" s="143"/>
      <c r="AE32" s="142"/>
      <c r="AF32" s="142"/>
      <c r="AG32" s="128"/>
      <c r="AH32" s="34"/>
      <c r="AI32" s="34"/>
      <c r="AJ32" s="34"/>
      <c r="AK32" s="34"/>
      <c r="AL32" s="12"/>
      <c r="AM32" s="12"/>
      <c r="AN32" s="12"/>
      <c r="AO32" s="12"/>
      <c r="AP32" s="12"/>
      <c r="AQ32" s="12"/>
      <c r="AR32" s="12"/>
      <c r="AS32" s="12"/>
      <c r="AT32" s="12"/>
    </row>
    <row r="33" spans="1:46" ht="13.5" customHeight="1" x14ac:dyDescent="0.2">
      <c r="A33" s="40">
        <v>26</v>
      </c>
      <c r="B33" s="56" t="s">
        <v>16</v>
      </c>
      <c r="C33" s="17" t="s">
        <v>71</v>
      </c>
      <c r="D33" s="83">
        <v>46360</v>
      </c>
      <c r="E33" s="83">
        <v>46360</v>
      </c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127"/>
      <c r="AC33" s="142"/>
      <c r="AD33" s="143"/>
      <c r="AE33" s="142"/>
      <c r="AF33" s="142"/>
      <c r="AG33" s="128"/>
      <c r="AH33" s="34"/>
      <c r="AI33" s="34"/>
      <c r="AJ33" s="34"/>
      <c r="AK33" s="34"/>
      <c r="AL33" s="12"/>
      <c r="AM33" s="12"/>
      <c r="AN33" s="12"/>
      <c r="AO33" s="12"/>
      <c r="AP33" s="12"/>
      <c r="AQ33" s="12"/>
      <c r="AR33" s="12"/>
      <c r="AS33" s="12"/>
      <c r="AT33" s="12"/>
    </row>
    <row r="34" spans="1:46" ht="13.5" customHeight="1" x14ac:dyDescent="0.2">
      <c r="A34" s="40">
        <v>27</v>
      </c>
      <c r="B34" s="56" t="s">
        <v>16</v>
      </c>
      <c r="C34" s="17" t="s">
        <v>72</v>
      </c>
      <c r="D34" s="83">
        <v>46364</v>
      </c>
      <c r="E34" s="83">
        <v>46367</v>
      </c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127"/>
      <c r="AC34" s="142"/>
      <c r="AD34" s="142"/>
      <c r="AE34" s="143"/>
      <c r="AF34" s="142"/>
      <c r="AG34" s="128"/>
      <c r="AH34" s="34"/>
      <c r="AI34" s="34"/>
      <c r="AJ34" s="34"/>
      <c r="AK34" s="34"/>
      <c r="AL34" s="12"/>
      <c r="AM34" s="12"/>
      <c r="AN34" s="12"/>
      <c r="AO34" s="12"/>
      <c r="AP34" s="12"/>
      <c r="AQ34" s="12"/>
      <c r="AR34" s="12"/>
      <c r="AS34" s="12"/>
      <c r="AT34" s="12"/>
    </row>
    <row r="35" spans="1:46" ht="13.5" customHeight="1" x14ac:dyDescent="0.2">
      <c r="A35" s="40">
        <v>28</v>
      </c>
      <c r="B35" s="56" t="s">
        <v>16</v>
      </c>
      <c r="C35" s="17" t="s">
        <v>73</v>
      </c>
      <c r="D35" s="83">
        <v>46370</v>
      </c>
      <c r="E35" s="83">
        <v>46370</v>
      </c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127"/>
      <c r="AC35" s="142"/>
      <c r="AD35" s="142"/>
      <c r="AE35" s="143"/>
      <c r="AF35" s="142"/>
      <c r="AG35" s="128"/>
      <c r="AH35" s="34"/>
      <c r="AI35" s="34"/>
      <c r="AJ35" s="34"/>
      <c r="AK35" s="34"/>
      <c r="AL35" s="12"/>
      <c r="AM35" s="12"/>
      <c r="AN35" s="12"/>
      <c r="AO35" s="12"/>
      <c r="AP35" s="12"/>
      <c r="AQ35" s="12"/>
      <c r="AR35" s="12"/>
      <c r="AS35" s="12"/>
      <c r="AT35" s="12"/>
    </row>
    <row r="36" spans="1:46" ht="13.5" customHeight="1" x14ac:dyDescent="0.2">
      <c r="A36" s="80" t="s">
        <v>209</v>
      </c>
      <c r="B36" s="80"/>
      <c r="C36" s="80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141"/>
      <c r="AD36" s="141"/>
      <c r="AE36" s="144"/>
      <c r="AF36" s="144"/>
      <c r="AG36" s="145"/>
      <c r="AH36" s="145"/>
      <c r="AI36" s="145"/>
      <c r="AJ36" s="145"/>
      <c r="AK36" s="89"/>
      <c r="AL36" s="12"/>
      <c r="AM36" s="12"/>
      <c r="AN36" s="12"/>
      <c r="AO36" s="12"/>
      <c r="AP36" s="12"/>
      <c r="AQ36" s="12"/>
      <c r="AR36" s="12"/>
      <c r="AS36" s="12"/>
      <c r="AT36" s="12"/>
    </row>
    <row r="37" spans="1:46" ht="13.5" customHeight="1" x14ac:dyDescent="0.2">
      <c r="A37" s="40">
        <v>30</v>
      </c>
      <c r="B37" s="57" t="s">
        <v>18</v>
      </c>
      <c r="C37" s="17" t="s">
        <v>74</v>
      </c>
      <c r="D37" s="83">
        <v>46371</v>
      </c>
      <c r="E37" s="83">
        <v>46374</v>
      </c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127"/>
      <c r="AE37" s="142"/>
      <c r="AF37" s="146"/>
      <c r="AG37" s="142"/>
      <c r="AH37" s="142"/>
      <c r="AI37" s="142"/>
      <c r="AJ37" s="142"/>
      <c r="AK37" s="128"/>
      <c r="AL37" s="12"/>
      <c r="AM37" s="12"/>
      <c r="AN37" s="12"/>
      <c r="AO37" s="12"/>
      <c r="AP37" s="12"/>
      <c r="AQ37" s="12"/>
      <c r="AR37" s="12"/>
      <c r="AS37" s="12"/>
      <c r="AT37" s="12"/>
    </row>
    <row r="38" spans="1:46" ht="15.75" customHeight="1" x14ac:dyDescent="0.2">
      <c r="A38" s="40">
        <v>31</v>
      </c>
      <c r="B38" s="57" t="s">
        <v>18</v>
      </c>
      <c r="C38" s="17" t="s">
        <v>213</v>
      </c>
      <c r="D38" s="83">
        <v>46377</v>
      </c>
      <c r="E38" s="83">
        <v>46391</v>
      </c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127"/>
      <c r="AE38" s="142"/>
      <c r="AF38" s="146"/>
      <c r="AG38" s="146"/>
      <c r="AH38" s="146"/>
      <c r="AI38" s="142"/>
      <c r="AJ38" s="142"/>
      <c r="AK38" s="128"/>
      <c r="AL38" s="12"/>
      <c r="AM38" s="12"/>
      <c r="AN38" s="12"/>
      <c r="AO38" s="12"/>
      <c r="AP38" s="12"/>
      <c r="AQ38" s="12"/>
      <c r="AR38" s="12"/>
      <c r="AS38" s="12"/>
      <c r="AT38" s="12"/>
    </row>
    <row r="39" spans="1:46" ht="13.5" customHeight="1" x14ac:dyDescent="0.2">
      <c r="A39" s="40">
        <v>32</v>
      </c>
      <c r="B39" s="57" t="s">
        <v>18</v>
      </c>
      <c r="C39" s="17" t="s">
        <v>75</v>
      </c>
      <c r="D39" s="83">
        <v>46391</v>
      </c>
      <c r="E39" s="83">
        <v>46391</v>
      </c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127"/>
      <c r="AE39" s="142"/>
      <c r="AF39" s="142"/>
      <c r="AG39" s="142"/>
      <c r="AH39" s="146"/>
      <c r="AI39" s="142"/>
      <c r="AJ39" s="142"/>
      <c r="AK39" s="128"/>
      <c r="AL39" s="12"/>
      <c r="AM39" s="12"/>
      <c r="AN39" s="12"/>
      <c r="AO39" s="12"/>
      <c r="AP39" s="12"/>
      <c r="AQ39" s="12"/>
      <c r="AR39" s="12"/>
      <c r="AS39" s="12"/>
      <c r="AT39" s="12"/>
    </row>
    <row r="40" spans="1:46" ht="13.5" customHeight="1" x14ac:dyDescent="0.2">
      <c r="A40" s="40">
        <v>33</v>
      </c>
      <c r="B40" s="57" t="s">
        <v>18</v>
      </c>
      <c r="C40" s="17" t="s">
        <v>76</v>
      </c>
      <c r="D40" s="83">
        <v>46392</v>
      </c>
      <c r="E40" s="83">
        <v>46392</v>
      </c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127"/>
      <c r="AE40" s="142"/>
      <c r="AF40" s="142"/>
      <c r="AG40" s="142"/>
      <c r="AH40" s="146"/>
      <c r="AI40" s="142"/>
      <c r="AJ40" s="142"/>
      <c r="AK40" s="128"/>
      <c r="AL40" s="12"/>
      <c r="AM40" s="12"/>
      <c r="AN40" s="12"/>
      <c r="AO40" s="12"/>
    </row>
    <row r="41" spans="1:46" ht="13.5" customHeight="1" x14ac:dyDescent="0.2">
      <c r="A41" s="40">
        <v>34</v>
      </c>
      <c r="B41" s="57" t="s">
        <v>18</v>
      </c>
      <c r="C41" s="17" t="s">
        <v>77</v>
      </c>
      <c r="D41" s="83">
        <v>46393</v>
      </c>
      <c r="E41" s="83">
        <v>46395</v>
      </c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127"/>
      <c r="AE41" s="142"/>
      <c r="AF41" s="142"/>
      <c r="AG41" s="142"/>
      <c r="AH41" s="146"/>
      <c r="AI41" s="142"/>
      <c r="AJ41" s="142"/>
      <c r="AK41" s="128"/>
      <c r="AL41" s="12"/>
      <c r="AM41" s="12"/>
      <c r="AN41" s="12"/>
      <c r="AO41" s="12"/>
    </row>
    <row r="42" spans="1:46" ht="13.5" customHeight="1" x14ac:dyDescent="0.2">
      <c r="A42" s="40">
        <v>35</v>
      </c>
      <c r="B42" s="57" t="s">
        <v>18</v>
      </c>
      <c r="C42" s="17" t="s">
        <v>238</v>
      </c>
      <c r="D42" s="83">
        <v>46398</v>
      </c>
      <c r="E42" s="83">
        <v>46409</v>
      </c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127"/>
      <c r="AE42" s="142"/>
      <c r="AF42" s="142"/>
      <c r="AG42" s="142"/>
      <c r="AH42" s="142"/>
      <c r="AI42" s="146"/>
      <c r="AJ42" s="146"/>
      <c r="AK42" s="128"/>
      <c r="AL42" s="12"/>
      <c r="AM42" s="12"/>
      <c r="AN42" s="12"/>
      <c r="AO42" s="12"/>
    </row>
    <row r="43" spans="1:46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</row>
    <row r="44" spans="1:46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</row>
    <row r="45" spans="1:46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</row>
    <row r="46" spans="1:46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</row>
    <row r="47" spans="1:46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</row>
    <row r="48" spans="1:46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</row>
    <row r="49" spans="1:4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</row>
    <row r="50" spans="1:4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</row>
    <row r="51" spans="1:4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</row>
    <row r="52" spans="1:4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</row>
    <row r="53" spans="1:4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</row>
    <row r="54" spans="1:4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</row>
    <row r="55" spans="1:4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</row>
    <row r="56" spans="1:4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</row>
    <row r="57" spans="1:4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</row>
    <row r="58" spans="1:4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</row>
    <row r="59" spans="1:4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</row>
    <row r="60" spans="1:41" x14ac:dyDescent="0.2">
      <c r="A60" s="12"/>
      <c r="B60" s="12"/>
      <c r="C60" s="12"/>
      <c r="D60" s="12"/>
      <c r="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</row>
    <row r="61" spans="1:41" x14ac:dyDescent="0.2">
      <c r="A61" s="12"/>
      <c r="B61" s="12"/>
      <c r="C61" s="12"/>
      <c r="D61" s="12"/>
      <c r="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</row>
    <row r="62" spans="1:41" x14ac:dyDescent="0.2">
      <c r="A62" s="12"/>
      <c r="B62" s="12"/>
      <c r="C62" s="12"/>
      <c r="D62" s="12"/>
      <c r="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</row>
    <row r="63" spans="1:41" x14ac:dyDescent="0.2">
      <c r="A63" s="12"/>
      <c r="B63" s="12"/>
      <c r="C63" s="12"/>
      <c r="D63" s="12"/>
      <c r="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</row>
    <row r="64" spans="1:41" x14ac:dyDescent="0.2">
      <c r="A64" s="12"/>
      <c r="B64" s="12"/>
      <c r="C64" s="12"/>
      <c r="D64" s="12"/>
      <c r="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</row>
    <row r="65" spans="1:41" x14ac:dyDescent="0.2">
      <c r="A65" s="12"/>
      <c r="B65" s="12"/>
      <c r="C65" s="12"/>
      <c r="D65" s="12"/>
      <c r="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</row>
    <row r="66" spans="1:41" x14ac:dyDescent="0.2">
      <c r="A66" s="12"/>
      <c r="B66" s="12"/>
      <c r="C66" s="12"/>
      <c r="D66" s="12"/>
      <c r="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</row>
    <row r="67" spans="1:41" x14ac:dyDescent="0.2">
      <c r="A67" s="12"/>
      <c r="B67" s="12"/>
      <c r="C67" s="12"/>
      <c r="D67" s="12"/>
      <c r="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</row>
    <row r="68" spans="1:41" x14ac:dyDescent="0.2">
      <c r="A68" s="12"/>
      <c r="B68" s="12"/>
      <c r="C68" s="12"/>
      <c r="D68" s="12"/>
      <c r="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</row>
    <row r="69" spans="1:41" x14ac:dyDescent="0.2">
      <c r="A69" s="12"/>
      <c r="B69" s="12"/>
      <c r="C69" s="12"/>
      <c r="D69" s="12"/>
      <c r="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</row>
    <row r="70" spans="1:41" x14ac:dyDescent="0.2">
      <c r="A70" s="12"/>
      <c r="B70" s="12"/>
      <c r="C70" s="12"/>
      <c r="D70" s="12"/>
      <c r="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</row>
    <row r="71" spans="1:41" x14ac:dyDescent="0.2">
      <c r="A71" s="12"/>
      <c r="B71" s="12"/>
      <c r="C71" s="12"/>
      <c r="D71" s="12"/>
      <c r="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</row>
    <row r="72" spans="1:41" x14ac:dyDescent="0.2">
      <c r="A72" s="12"/>
      <c r="B72" s="12"/>
      <c r="C72" s="12"/>
      <c r="D72" s="12"/>
      <c r="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</row>
    <row r="73" spans="1:41" x14ac:dyDescent="0.2">
      <c r="A73" s="12"/>
      <c r="B73" s="12"/>
      <c r="C73" s="12"/>
      <c r="D73" s="12"/>
      <c r="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</row>
    <row r="74" spans="1:41" x14ac:dyDescent="0.2">
      <c r="A74" s="12"/>
      <c r="B74" s="12"/>
      <c r="C74" s="12"/>
      <c r="D74" s="12"/>
      <c r="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</row>
    <row r="75" spans="1:41" x14ac:dyDescent="0.2">
      <c r="A75" s="12"/>
      <c r="B75" s="12"/>
      <c r="C75" s="12"/>
      <c r="D75" s="12"/>
      <c r="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</row>
  </sheetData>
  <mergeCells count="9">
    <mergeCell ref="J2:M2"/>
    <mergeCell ref="N2:Q2"/>
    <mergeCell ref="AD2:AG2"/>
    <mergeCell ref="V2:Y2"/>
    <mergeCell ref="Z2:AC2"/>
    <mergeCell ref="F1:AK1"/>
    <mergeCell ref="F2:I2"/>
    <mergeCell ref="R2:U2"/>
    <mergeCell ref="AH2:AK2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B6225"/>
  </sheetPr>
  <dimension ref="A1:Q118"/>
  <sheetViews>
    <sheetView showGridLines="0" zoomScale="135" zoomScaleNormal="100" workbookViewId="0">
      <pane ySplit="4" topLeftCell="A29" activePane="bottomLeft" state="frozen"/>
      <selection pane="bottomLeft" activeCell="C34" sqref="C34"/>
    </sheetView>
  </sheetViews>
  <sheetFormatPr baseColWidth="10" defaultColWidth="8.6640625" defaultRowHeight="15" x14ac:dyDescent="0.2"/>
  <cols>
    <col min="1" max="1" width="5" customWidth="1"/>
    <col min="2" max="2" width="16" customWidth="1"/>
    <col min="3" max="3" width="42" customWidth="1"/>
    <col min="4" max="5" width="11" customWidth="1"/>
    <col min="6" max="6" width="8.5" customWidth="1"/>
    <col min="7" max="9" width="7" customWidth="1"/>
    <col min="10" max="10" width="8" customWidth="1"/>
    <col min="11" max="12" width="7" customWidth="1"/>
    <col min="13" max="13" width="8" customWidth="1"/>
    <col min="14" max="14" width="11" customWidth="1"/>
    <col min="15" max="15" width="12" customWidth="1"/>
    <col min="16" max="16" width="16" customWidth="1"/>
    <col min="17" max="17" width="50.6640625" bestFit="1" customWidth="1"/>
  </cols>
  <sheetData>
    <row r="1" spans="1:17" ht="25.5" customHeight="1" x14ac:dyDescent="0.2">
      <c r="A1" s="72" t="s">
        <v>79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17" ht="15.75" customHeight="1" x14ac:dyDescent="0.2">
      <c r="A2" s="73" t="s">
        <v>215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3" spans="1:17" ht="7.5" customHeight="1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ht="31.5" customHeight="1" x14ac:dyDescent="0.2">
      <c r="A4" s="13" t="s">
        <v>50</v>
      </c>
      <c r="B4" s="13" t="s">
        <v>2</v>
      </c>
      <c r="C4" s="13" t="s">
        <v>51</v>
      </c>
      <c r="D4" s="13" t="s">
        <v>80</v>
      </c>
      <c r="E4" s="13" t="s">
        <v>81</v>
      </c>
      <c r="F4" s="13" t="s">
        <v>225</v>
      </c>
      <c r="G4" s="13" t="s">
        <v>82</v>
      </c>
      <c r="H4" s="13" t="s">
        <v>83</v>
      </c>
      <c r="I4" s="13" t="s">
        <v>84</v>
      </c>
      <c r="J4" s="13" t="s">
        <v>85</v>
      </c>
      <c r="K4" s="13" t="s">
        <v>86</v>
      </c>
      <c r="L4" s="13" t="s">
        <v>87</v>
      </c>
      <c r="M4" s="13" t="s">
        <v>88</v>
      </c>
      <c r="N4" s="13" t="s">
        <v>89</v>
      </c>
      <c r="O4" s="13" t="s">
        <v>90</v>
      </c>
      <c r="P4" s="13" t="s">
        <v>91</v>
      </c>
      <c r="Q4" s="13" t="s">
        <v>92</v>
      </c>
    </row>
    <row r="5" spans="1:17" ht="18" customHeight="1" x14ac:dyDescent="0.2">
      <c r="A5" s="74" t="s">
        <v>203</v>
      </c>
      <c r="B5" s="74"/>
      <c r="C5" s="74"/>
      <c r="D5" s="74"/>
      <c r="E5" s="74"/>
      <c r="F5" s="90">
        <f>SUM(F6)</f>
        <v>3</v>
      </c>
      <c r="G5" s="74"/>
      <c r="H5" s="74"/>
      <c r="I5" s="74"/>
      <c r="J5" s="74"/>
      <c r="K5" s="74"/>
      <c r="L5" s="74"/>
      <c r="M5" s="99">
        <f>SUM(M6)</f>
        <v>9</v>
      </c>
      <c r="N5" s="74"/>
      <c r="O5" s="74"/>
      <c r="P5" s="74"/>
      <c r="Q5" s="74"/>
    </row>
    <row r="6" spans="1:17" ht="18" customHeight="1" x14ac:dyDescent="0.2">
      <c r="A6" s="40">
        <v>1</v>
      </c>
      <c r="B6" s="41" t="s">
        <v>6</v>
      </c>
      <c r="C6" s="17" t="s">
        <v>52</v>
      </c>
      <c r="D6" s="83">
        <v>46176</v>
      </c>
      <c r="E6" s="83">
        <v>46178</v>
      </c>
      <c r="F6" s="42">
        <f>NETWORKDAYS(D6,E6)</f>
        <v>3</v>
      </c>
      <c r="G6" s="43">
        <v>3</v>
      </c>
      <c r="H6" s="44">
        <v>3</v>
      </c>
      <c r="I6" s="45">
        <v>3</v>
      </c>
      <c r="J6" s="46" t="s">
        <v>93</v>
      </c>
      <c r="K6" s="46" t="s">
        <v>93</v>
      </c>
      <c r="L6" s="46" t="s">
        <v>93</v>
      </c>
      <c r="M6" s="43">
        <f>SUM(G6:L6)</f>
        <v>9</v>
      </c>
      <c r="N6" s="47" t="s">
        <v>94</v>
      </c>
      <c r="O6" s="41" t="s">
        <v>95</v>
      </c>
      <c r="P6" s="40" t="s">
        <v>96</v>
      </c>
      <c r="Q6" s="17" t="s">
        <v>97</v>
      </c>
    </row>
    <row r="7" spans="1:17" ht="18" customHeight="1" x14ac:dyDescent="0.2">
      <c r="A7" s="75" t="s">
        <v>204</v>
      </c>
      <c r="B7" s="75"/>
      <c r="C7" s="75"/>
      <c r="D7" s="84"/>
      <c r="E7" s="84"/>
      <c r="F7" s="91">
        <f>SUM(F8:F12)</f>
        <v>22</v>
      </c>
      <c r="G7" s="91">
        <f t="shared" ref="G7:M7" si="0">SUM(G8:G12)</f>
        <v>2</v>
      </c>
      <c r="H7" s="91">
        <f t="shared" si="0"/>
        <v>11</v>
      </c>
      <c r="I7" s="91">
        <f t="shared" si="0"/>
        <v>13</v>
      </c>
      <c r="J7" s="91">
        <f t="shared" si="0"/>
        <v>0</v>
      </c>
      <c r="K7" s="91">
        <f t="shared" si="0"/>
        <v>0</v>
      </c>
      <c r="L7" s="91">
        <f t="shared" si="0"/>
        <v>0</v>
      </c>
      <c r="M7" s="100">
        <f>SUM(M8:M12)</f>
        <v>26</v>
      </c>
      <c r="N7" s="75"/>
      <c r="O7" s="75"/>
      <c r="P7" s="75"/>
      <c r="Q7" s="75"/>
    </row>
    <row r="8" spans="1:17" ht="18" customHeight="1" x14ac:dyDescent="0.2">
      <c r="A8" s="40">
        <v>2</v>
      </c>
      <c r="B8" s="48" t="s">
        <v>9</v>
      </c>
      <c r="C8" s="17" t="s">
        <v>53</v>
      </c>
      <c r="D8" s="83">
        <v>46181</v>
      </c>
      <c r="E8" s="83">
        <v>46185</v>
      </c>
      <c r="F8" s="42">
        <f t="shared" ref="F8:F42" si="1">NETWORKDAYS(D8,E8)</f>
        <v>5</v>
      </c>
      <c r="G8" s="43">
        <v>1</v>
      </c>
      <c r="H8" s="44">
        <v>4</v>
      </c>
      <c r="I8" s="45">
        <v>2</v>
      </c>
      <c r="J8" s="46" t="s">
        <v>93</v>
      </c>
      <c r="K8" s="46" t="s">
        <v>93</v>
      </c>
      <c r="L8" s="46" t="s">
        <v>93</v>
      </c>
      <c r="M8" s="43">
        <f>SUM(G8:L8)</f>
        <v>7</v>
      </c>
      <c r="N8" s="47" t="s">
        <v>94</v>
      </c>
      <c r="O8" s="41" t="s">
        <v>95</v>
      </c>
      <c r="P8" s="40" t="s">
        <v>98</v>
      </c>
      <c r="Q8" s="17" t="s">
        <v>99</v>
      </c>
    </row>
    <row r="9" spans="1:17" ht="18" customHeight="1" x14ac:dyDescent="0.2">
      <c r="A9" s="40">
        <v>3</v>
      </c>
      <c r="B9" s="48" t="s">
        <v>9</v>
      </c>
      <c r="C9" s="17" t="s">
        <v>210</v>
      </c>
      <c r="D9" s="83">
        <v>46181</v>
      </c>
      <c r="E9" s="83">
        <v>46182</v>
      </c>
      <c r="F9" s="42">
        <f t="shared" si="1"/>
        <v>2</v>
      </c>
      <c r="G9" s="46" t="s">
        <v>93</v>
      </c>
      <c r="H9" s="46" t="s">
        <v>93</v>
      </c>
      <c r="I9" s="45">
        <v>2</v>
      </c>
      <c r="J9" s="46" t="s">
        <v>93</v>
      </c>
      <c r="K9" s="46" t="s">
        <v>93</v>
      </c>
      <c r="L9" s="46" t="s">
        <v>93</v>
      </c>
      <c r="M9" s="43">
        <f t="shared" ref="M8:M43" si="2">SUM(G9:L9)</f>
        <v>2</v>
      </c>
      <c r="N9" s="47" t="s">
        <v>94</v>
      </c>
      <c r="O9" s="41" t="s">
        <v>95</v>
      </c>
      <c r="P9" s="40" t="s">
        <v>98</v>
      </c>
      <c r="Q9" s="17" t="s">
        <v>100</v>
      </c>
    </row>
    <row r="10" spans="1:17" ht="18" customHeight="1" x14ac:dyDescent="0.2">
      <c r="A10" s="40">
        <v>4</v>
      </c>
      <c r="B10" s="48" t="s">
        <v>9</v>
      </c>
      <c r="C10" s="17" t="s">
        <v>54</v>
      </c>
      <c r="D10" s="83">
        <v>46188</v>
      </c>
      <c r="E10" s="83">
        <v>46192</v>
      </c>
      <c r="F10" s="42">
        <f t="shared" si="1"/>
        <v>5</v>
      </c>
      <c r="G10" s="43">
        <v>1</v>
      </c>
      <c r="H10" s="44">
        <v>5</v>
      </c>
      <c r="I10" s="45">
        <v>1</v>
      </c>
      <c r="J10" s="46" t="s">
        <v>93</v>
      </c>
      <c r="K10" s="46" t="s">
        <v>93</v>
      </c>
      <c r="L10" s="46" t="s">
        <v>93</v>
      </c>
      <c r="M10" s="43">
        <f t="shared" si="2"/>
        <v>7</v>
      </c>
      <c r="N10" s="47" t="s">
        <v>94</v>
      </c>
      <c r="O10" s="41" t="s">
        <v>95</v>
      </c>
      <c r="P10" s="40" t="s">
        <v>101</v>
      </c>
      <c r="Q10" s="17" t="s">
        <v>102</v>
      </c>
    </row>
    <row r="11" spans="1:17" ht="18" customHeight="1" x14ac:dyDescent="0.2">
      <c r="A11" s="40">
        <v>5</v>
      </c>
      <c r="B11" s="48" t="s">
        <v>9</v>
      </c>
      <c r="C11" s="17" t="s">
        <v>55</v>
      </c>
      <c r="D11" s="83">
        <v>46190</v>
      </c>
      <c r="E11" s="83">
        <v>46196</v>
      </c>
      <c r="F11" s="42">
        <f t="shared" si="1"/>
        <v>5</v>
      </c>
      <c r="G11" s="46" t="s">
        <v>93</v>
      </c>
      <c r="H11" s="44">
        <v>1</v>
      </c>
      <c r="I11" s="45">
        <v>4</v>
      </c>
      <c r="J11" s="46" t="s">
        <v>93</v>
      </c>
      <c r="K11" s="46" t="s">
        <v>93</v>
      </c>
      <c r="L11" s="46" t="s">
        <v>93</v>
      </c>
      <c r="M11" s="43">
        <f t="shared" si="2"/>
        <v>5</v>
      </c>
      <c r="N11" s="47" t="s">
        <v>94</v>
      </c>
      <c r="O11" s="41" t="s">
        <v>95</v>
      </c>
      <c r="P11" s="40" t="s">
        <v>103</v>
      </c>
      <c r="Q11" s="17" t="s">
        <v>104</v>
      </c>
    </row>
    <row r="12" spans="1:17" ht="18" customHeight="1" x14ac:dyDescent="0.2">
      <c r="A12" s="40">
        <v>6</v>
      </c>
      <c r="B12" s="48" t="s">
        <v>9</v>
      </c>
      <c r="C12" s="17" t="s">
        <v>56</v>
      </c>
      <c r="D12" s="83">
        <v>46197</v>
      </c>
      <c r="E12" s="83">
        <v>46203</v>
      </c>
      <c r="F12" s="42">
        <f t="shared" si="1"/>
        <v>5</v>
      </c>
      <c r="G12" s="46" t="s">
        <v>93</v>
      </c>
      <c r="H12" s="44">
        <v>1</v>
      </c>
      <c r="I12" s="45">
        <v>4</v>
      </c>
      <c r="J12" s="46" t="s">
        <v>93</v>
      </c>
      <c r="K12" s="46" t="s">
        <v>93</v>
      </c>
      <c r="L12" s="46" t="s">
        <v>93</v>
      </c>
      <c r="M12" s="43">
        <f t="shared" si="2"/>
        <v>5</v>
      </c>
      <c r="N12" s="47" t="s">
        <v>94</v>
      </c>
      <c r="O12" s="41" t="s">
        <v>95</v>
      </c>
      <c r="P12" s="40" t="s">
        <v>105</v>
      </c>
      <c r="Q12" s="17" t="s">
        <v>106</v>
      </c>
    </row>
    <row r="13" spans="1:17" ht="18" customHeight="1" x14ac:dyDescent="0.2">
      <c r="A13" s="76" t="s">
        <v>205</v>
      </c>
      <c r="B13" s="76"/>
      <c r="C13" s="76"/>
      <c r="D13" s="85"/>
      <c r="E13" s="85"/>
      <c r="F13" s="92">
        <f>SUM(F14:F17)</f>
        <v>24</v>
      </c>
      <c r="G13" s="92">
        <f t="shared" ref="G13:M13" si="3">SUM(G14:G17)</f>
        <v>1</v>
      </c>
      <c r="H13" s="92">
        <f t="shared" si="3"/>
        <v>4</v>
      </c>
      <c r="I13" s="92">
        <f t="shared" si="3"/>
        <v>4</v>
      </c>
      <c r="J13" s="92">
        <f t="shared" si="3"/>
        <v>24</v>
      </c>
      <c r="K13" s="92">
        <f t="shared" si="3"/>
        <v>0</v>
      </c>
      <c r="L13" s="92">
        <f t="shared" si="3"/>
        <v>0</v>
      </c>
      <c r="M13" s="101">
        <f>SUM(M14:M17)</f>
        <v>33</v>
      </c>
      <c r="N13" s="76"/>
      <c r="O13" s="76"/>
      <c r="P13" s="76"/>
      <c r="Q13" s="76"/>
    </row>
    <row r="14" spans="1:17" ht="18" customHeight="1" x14ac:dyDescent="0.2">
      <c r="A14" s="40">
        <v>7</v>
      </c>
      <c r="B14" s="49" t="s">
        <v>11</v>
      </c>
      <c r="C14" s="17" t="s">
        <v>211</v>
      </c>
      <c r="D14" s="83">
        <v>46204</v>
      </c>
      <c r="E14" s="83">
        <v>46206</v>
      </c>
      <c r="F14" s="42">
        <f t="shared" si="1"/>
        <v>3</v>
      </c>
      <c r="G14" s="46" t="s">
        <v>93</v>
      </c>
      <c r="H14" s="44">
        <v>3</v>
      </c>
      <c r="I14" s="45">
        <v>3</v>
      </c>
      <c r="J14" s="50">
        <v>3</v>
      </c>
      <c r="K14" s="46" t="s">
        <v>93</v>
      </c>
      <c r="L14" s="46" t="s">
        <v>93</v>
      </c>
      <c r="M14" s="43">
        <f t="shared" si="2"/>
        <v>9</v>
      </c>
      <c r="N14" s="47" t="s">
        <v>94</v>
      </c>
      <c r="O14" s="41" t="s">
        <v>95</v>
      </c>
      <c r="P14" s="40" t="s">
        <v>108</v>
      </c>
      <c r="Q14" s="17" t="s">
        <v>109</v>
      </c>
    </row>
    <row r="15" spans="1:17" ht="18" customHeight="1" x14ac:dyDescent="0.2">
      <c r="A15" s="40">
        <v>8</v>
      </c>
      <c r="B15" s="49" t="s">
        <v>11</v>
      </c>
      <c r="C15" s="17" t="s">
        <v>57</v>
      </c>
      <c r="D15" s="83">
        <v>46209</v>
      </c>
      <c r="E15" s="83">
        <v>46213</v>
      </c>
      <c r="F15" s="42">
        <f t="shared" si="1"/>
        <v>5</v>
      </c>
      <c r="G15" s="46" t="s">
        <v>93</v>
      </c>
      <c r="H15" s="46" t="s">
        <v>93</v>
      </c>
      <c r="I15" s="46" t="s">
        <v>93</v>
      </c>
      <c r="J15" s="50">
        <v>5</v>
      </c>
      <c r="K15" s="46" t="s">
        <v>93</v>
      </c>
      <c r="L15" s="46" t="s">
        <v>93</v>
      </c>
      <c r="M15" s="43">
        <f t="shared" si="2"/>
        <v>5</v>
      </c>
      <c r="N15" s="47" t="s">
        <v>94</v>
      </c>
      <c r="O15" s="41" t="s">
        <v>95</v>
      </c>
      <c r="P15" s="40" t="s">
        <v>110</v>
      </c>
      <c r="Q15" s="17" t="s">
        <v>111</v>
      </c>
    </row>
    <row r="16" spans="1:17" ht="18" customHeight="1" x14ac:dyDescent="0.2">
      <c r="A16" s="40">
        <v>9</v>
      </c>
      <c r="B16" s="49" t="s">
        <v>11</v>
      </c>
      <c r="C16" s="17" t="s">
        <v>58</v>
      </c>
      <c r="D16" s="83">
        <v>46213</v>
      </c>
      <c r="E16" s="83">
        <v>46233</v>
      </c>
      <c r="F16" s="42">
        <f t="shared" si="1"/>
        <v>15</v>
      </c>
      <c r="G16" s="46" t="s">
        <v>93</v>
      </c>
      <c r="H16" s="46" t="s">
        <v>93</v>
      </c>
      <c r="I16" s="46" t="s">
        <v>93</v>
      </c>
      <c r="J16" s="50">
        <v>15</v>
      </c>
      <c r="K16" s="46" t="s">
        <v>93</v>
      </c>
      <c r="L16" s="46" t="s">
        <v>93</v>
      </c>
      <c r="M16" s="43">
        <f t="shared" si="2"/>
        <v>15</v>
      </c>
      <c r="N16" s="51" t="s">
        <v>107</v>
      </c>
      <c r="O16" s="41" t="s">
        <v>95</v>
      </c>
      <c r="P16" s="40" t="s">
        <v>112</v>
      </c>
      <c r="Q16" s="17" t="s">
        <v>113</v>
      </c>
    </row>
    <row r="17" spans="1:17" ht="18" customHeight="1" x14ac:dyDescent="0.2">
      <c r="A17" s="40">
        <v>10</v>
      </c>
      <c r="B17" s="49" t="s">
        <v>11</v>
      </c>
      <c r="C17" s="17" t="s">
        <v>59</v>
      </c>
      <c r="D17" s="83">
        <v>46234</v>
      </c>
      <c r="E17" s="83">
        <v>46234</v>
      </c>
      <c r="F17" s="42">
        <f t="shared" si="1"/>
        <v>1</v>
      </c>
      <c r="G17" s="43">
        <v>1</v>
      </c>
      <c r="H17" s="44">
        <v>1</v>
      </c>
      <c r="I17" s="45">
        <v>1</v>
      </c>
      <c r="J17" s="50">
        <v>1</v>
      </c>
      <c r="K17" s="46" t="s">
        <v>93</v>
      </c>
      <c r="L17" s="46" t="s">
        <v>93</v>
      </c>
      <c r="M17" s="43">
        <f t="shared" si="2"/>
        <v>4</v>
      </c>
      <c r="N17" s="51" t="s">
        <v>107</v>
      </c>
      <c r="O17" s="41" t="s">
        <v>95</v>
      </c>
      <c r="P17" s="40" t="s">
        <v>114</v>
      </c>
      <c r="Q17" s="17" t="s">
        <v>115</v>
      </c>
    </row>
    <row r="18" spans="1:17" ht="18" customHeight="1" x14ac:dyDescent="0.2">
      <c r="A18" s="77" t="s">
        <v>206</v>
      </c>
      <c r="B18" s="77"/>
      <c r="C18" s="77"/>
      <c r="D18" s="86"/>
      <c r="E18" s="86"/>
      <c r="F18" s="93">
        <f>SUM(F19:F27)</f>
        <v>83</v>
      </c>
      <c r="G18" s="93">
        <f t="shared" ref="G18:M18" si="4">SUM(G19:G27)</f>
        <v>0</v>
      </c>
      <c r="H18" s="93">
        <f t="shared" si="4"/>
        <v>76</v>
      </c>
      <c r="I18" s="93">
        <f t="shared" si="4"/>
        <v>10</v>
      </c>
      <c r="J18" s="93">
        <f t="shared" si="4"/>
        <v>7</v>
      </c>
      <c r="K18" s="93">
        <f t="shared" si="4"/>
        <v>83</v>
      </c>
      <c r="L18" s="93">
        <f t="shared" si="4"/>
        <v>0</v>
      </c>
      <c r="M18" s="102">
        <f>SUM(M19:M27)</f>
        <v>176</v>
      </c>
      <c r="N18" s="77"/>
      <c r="O18" s="77"/>
      <c r="P18" s="77"/>
      <c r="Q18" s="77"/>
    </row>
    <row r="19" spans="1:17" ht="18" customHeight="1" x14ac:dyDescent="0.2">
      <c r="A19" s="40">
        <v>11</v>
      </c>
      <c r="B19" s="52" t="s">
        <v>13</v>
      </c>
      <c r="C19" s="17" t="s">
        <v>60</v>
      </c>
      <c r="D19" s="83">
        <v>46237</v>
      </c>
      <c r="E19" s="83">
        <v>46239</v>
      </c>
      <c r="F19" s="42">
        <f t="shared" si="1"/>
        <v>3</v>
      </c>
      <c r="G19" s="46" t="s">
        <v>93</v>
      </c>
      <c r="H19" s="46" t="s">
        <v>93</v>
      </c>
      <c r="I19" s="45">
        <v>3</v>
      </c>
      <c r="J19" s="46" t="s">
        <v>93</v>
      </c>
      <c r="K19" s="42">
        <f>F19</f>
        <v>3</v>
      </c>
      <c r="L19" s="46" t="s">
        <v>93</v>
      </c>
      <c r="M19" s="43">
        <f t="shared" si="2"/>
        <v>6</v>
      </c>
      <c r="N19" s="51" t="s">
        <v>107</v>
      </c>
      <c r="O19" s="41" t="s">
        <v>95</v>
      </c>
      <c r="P19" s="40" t="s">
        <v>116</v>
      </c>
      <c r="Q19" s="17" t="s">
        <v>117</v>
      </c>
    </row>
    <row r="20" spans="1:17" ht="18" customHeight="1" x14ac:dyDescent="0.2">
      <c r="A20" s="40">
        <v>12</v>
      </c>
      <c r="B20" s="52" t="s">
        <v>13</v>
      </c>
      <c r="C20" s="17" t="s">
        <v>61</v>
      </c>
      <c r="D20" s="83">
        <v>46240</v>
      </c>
      <c r="E20" s="83">
        <v>46245</v>
      </c>
      <c r="F20" s="42">
        <f t="shared" si="1"/>
        <v>4</v>
      </c>
      <c r="G20" s="46" t="s">
        <v>93</v>
      </c>
      <c r="H20" s="46" t="s">
        <v>93</v>
      </c>
      <c r="I20" s="46" t="s">
        <v>93</v>
      </c>
      <c r="J20" s="46" t="s">
        <v>93</v>
      </c>
      <c r="K20" s="42">
        <f t="shared" ref="K20:K27" si="5">F20</f>
        <v>4</v>
      </c>
      <c r="L20" s="46" t="s">
        <v>93</v>
      </c>
      <c r="M20" s="43">
        <f t="shared" si="2"/>
        <v>4</v>
      </c>
      <c r="N20" s="47" t="s">
        <v>94</v>
      </c>
      <c r="O20" s="41" t="s">
        <v>95</v>
      </c>
      <c r="P20" s="40" t="s">
        <v>118</v>
      </c>
      <c r="Q20" s="17" t="s">
        <v>119</v>
      </c>
    </row>
    <row r="21" spans="1:17" ht="18" customHeight="1" x14ac:dyDescent="0.2">
      <c r="A21" s="40">
        <v>13</v>
      </c>
      <c r="B21" s="52" t="s">
        <v>13</v>
      </c>
      <c r="C21" s="17" t="s">
        <v>62</v>
      </c>
      <c r="D21" s="83">
        <v>46246</v>
      </c>
      <c r="E21" s="83">
        <v>46255</v>
      </c>
      <c r="F21" s="42">
        <f t="shared" si="1"/>
        <v>8</v>
      </c>
      <c r="G21" s="46" t="s">
        <v>93</v>
      </c>
      <c r="H21" s="44">
        <v>8</v>
      </c>
      <c r="I21" s="45">
        <v>1</v>
      </c>
      <c r="J21" s="50">
        <v>1</v>
      </c>
      <c r="K21" s="42">
        <f t="shared" si="5"/>
        <v>8</v>
      </c>
      <c r="L21" s="46" t="s">
        <v>93</v>
      </c>
      <c r="M21" s="43">
        <f t="shared" si="2"/>
        <v>18</v>
      </c>
      <c r="N21" s="47" t="s">
        <v>94</v>
      </c>
      <c r="O21" s="41" t="s">
        <v>95</v>
      </c>
      <c r="P21" s="40" t="s">
        <v>118</v>
      </c>
      <c r="Q21" s="17" t="s">
        <v>120</v>
      </c>
    </row>
    <row r="22" spans="1:17" ht="18" customHeight="1" x14ac:dyDescent="0.2">
      <c r="A22" s="40">
        <v>14</v>
      </c>
      <c r="B22" s="52" t="s">
        <v>13</v>
      </c>
      <c r="C22" s="17" t="s">
        <v>63</v>
      </c>
      <c r="D22" s="83">
        <v>46258</v>
      </c>
      <c r="E22" s="83">
        <v>46269</v>
      </c>
      <c r="F22" s="42">
        <f t="shared" si="1"/>
        <v>10</v>
      </c>
      <c r="G22" s="46" t="s">
        <v>93</v>
      </c>
      <c r="H22" s="44">
        <v>10</v>
      </c>
      <c r="I22" s="45">
        <v>1</v>
      </c>
      <c r="J22" s="50">
        <v>1</v>
      </c>
      <c r="K22" s="42">
        <f t="shared" si="5"/>
        <v>10</v>
      </c>
      <c r="L22" s="46" t="s">
        <v>93</v>
      </c>
      <c r="M22" s="43">
        <f t="shared" si="2"/>
        <v>22</v>
      </c>
      <c r="N22" s="51" t="s">
        <v>107</v>
      </c>
      <c r="O22" s="41" t="s">
        <v>95</v>
      </c>
      <c r="P22" s="40" t="s">
        <v>118</v>
      </c>
      <c r="Q22" s="17" t="s">
        <v>121</v>
      </c>
    </row>
    <row r="23" spans="1:17" ht="18" customHeight="1" x14ac:dyDescent="0.2">
      <c r="A23" s="40">
        <v>15</v>
      </c>
      <c r="B23" s="52" t="s">
        <v>13</v>
      </c>
      <c r="C23" s="17" t="s">
        <v>64</v>
      </c>
      <c r="D23" s="83">
        <v>46272</v>
      </c>
      <c r="E23" s="83">
        <v>46290</v>
      </c>
      <c r="F23" s="42">
        <f t="shared" si="1"/>
        <v>15</v>
      </c>
      <c r="G23" s="46" t="s">
        <v>93</v>
      </c>
      <c r="H23" s="44">
        <v>15</v>
      </c>
      <c r="I23" s="45">
        <v>1</v>
      </c>
      <c r="J23" s="50">
        <v>1</v>
      </c>
      <c r="K23" s="42">
        <f t="shared" si="5"/>
        <v>15</v>
      </c>
      <c r="L23" s="46" t="s">
        <v>93</v>
      </c>
      <c r="M23" s="43">
        <f t="shared" si="2"/>
        <v>32</v>
      </c>
      <c r="N23" s="51" t="s">
        <v>107</v>
      </c>
      <c r="O23" s="41" t="s">
        <v>95</v>
      </c>
      <c r="P23" s="40" t="s">
        <v>122</v>
      </c>
      <c r="Q23" s="17" t="s">
        <v>123</v>
      </c>
    </row>
    <row r="24" spans="1:17" ht="18" customHeight="1" x14ac:dyDescent="0.2">
      <c r="A24" s="40">
        <v>16</v>
      </c>
      <c r="B24" s="52" t="s">
        <v>13</v>
      </c>
      <c r="C24" s="17" t="s">
        <v>65</v>
      </c>
      <c r="D24" s="83">
        <v>46293</v>
      </c>
      <c r="E24" s="83">
        <v>46297</v>
      </c>
      <c r="F24" s="42">
        <f t="shared" si="1"/>
        <v>5</v>
      </c>
      <c r="G24" s="46" t="s">
        <v>93</v>
      </c>
      <c r="H24" s="44">
        <v>5</v>
      </c>
      <c r="I24" s="45">
        <v>1</v>
      </c>
      <c r="J24" s="50">
        <v>1</v>
      </c>
      <c r="K24" s="42">
        <f t="shared" si="5"/>
        <v>5</v>
      </c>
      <c r="L24" s="46" t="s">
        <v>93</v>
      </c>
      <c r="M24" s="43">
        <f t="shared" si="2"/>
        <v>12</v>
      </c>
      <c r="N24" s="47" t="s">
        <v>94</v>
      </c>
      <c r="O24" s="41" t="s">
        <v>95</v>
      </c>
      <c r="P24" s="40" t="s">
        <v>124</v>
      </c>
      <c r="Q24" s="17" t="s">
        <v>125</v>
      </c>
    </row>
    <row r="25" spans="1:17" ht="18" customHeight="1" x14ac:dyDescent="0.2">
      <c r="A25" s="40">
        <v>17</v>
      </c>
      <c r="B25" s="52" t="s">
        <v>13</v>
      </c>
      <c r="C25" s="17" t="s">
        <v>66</v>
      </c>
      <c r="D25" s="83">
        <v>46300</v>
      </c>
      <c r="E25" s="83">
        <v>46311</v>
      </c>
      <c r="F25" s="42">
        <f t="shared" si="1"/>
        <v>10</v>
      </c>
      <c r="G25" s="46" t="s">
        <v>93</v>
      </c>
      <c r="H25" s="44">
        <v>10</v>
      </c>
      <c r="I25" s="45">
        <v>1</v>
      </c>
      <c r="J25" s="50">
        <v>1</v>
      </c>
      <c r="K25" s="42">
        <f t="shared" si="5"/>
        <v>10</v>
      </c>
      <c r="L25" s="46" t="s">
        <v>93</v>
      </c>
      <c r="M25" s="43">
        <f t="shared" si="2"/>
        <v>22</v>
      </c>
      <c r="N25" s="47" t="s">
        <v>94</v>
      </c>
      <c r="O25" s="41" t="s">
        <v>95</v>
      </c>
      <c r="P25" s="40" t="s">
        <v>126</v>
      </c>
      <c r="Q25" s="17" t="s">
        <v>127</v>
      </c>
    </row>
    <row r="26" spans="1:17" ht="18" customHeight="1" x14ac:dyDescent="0.2">
      <c r="A26" s="40">
        <v>18</v>
      </c>
      <c r="B26" s="52" t="s">
        <v>13</v>
      </c>
      <c r="C26" s="17" t="s">
        <v>212</v>
      </c>
      <c r="D26" s="83">
        <v>46314</v>
      </c>
      <c r="E26" s="83">
        <v>46339</v>
      </c>
      <c r="F26" s="42">
        <f t="shared" si="1"/>
        <v>20</v>
      </c>
      <c r="G26" s="46" t="s">
        <v>93</v>
      </c>
      <c r="H26" s="44">
        <v>20</v>
      </c>
      <c r="I26" s="45">
        <v>1</v>
      </c>
      <c r="J26" s="50">
        <v>1</v>
      </c>
      <c r="K26" s="42">
        <f t="shared" si="5"/>
        <v>20</v>
      </c>
      <c r="L26" s="46" t="s">
        <v>93</v>
      </c>
      <c r="M26" s="43">
        <f t="shared" si="2"/>
        <v>42</v>
      </c>
      <c r="N26" s="47" t="s">
        <v>94</v>
      </c>
      <c r="O26" s="41" t="s">
        <v>95</v>
      </c>
      <c r="P26" s="40" t="s">
        <v>118</v>
      </c>
      <c r="Q26" s="17" t="s">
        <v>128</v>
      </c>
    </row>
    <row r="27" spans="1:17" ht="18" customHeight="1" x14ac:dyDescent="0.2">
      <c r="A27" s="40">
        <v>19</v>
      </c>
      <c r="B27" s="52" t="s">
        <v>13</v>
      </c>
      <c r="C27" s="17" t="s">
        <v>67</v>
      </c>
      <c r="D27" s="83">
        <v>46342</v>
      </c>
      <c r="E27" s="83">
        <v>46351</v>
      </c>
      <c r="F27" s="42">
        <f t="shared" si="1"/>
        <v>8</v>
      </c>
      <c r="G27" s="46" t="s">
        <v>93</v>
      </c>
      <c r="H27" s="44">
        <v>8</v>
      </c>
      <c r="I27" s="45">
        <v>1</v>
      </c>
      <c r="J27" s="50">
        <v>1</v>
      </c>
      <c r="K27" s="42">
        <f t="shared" si="5"/>
        <v>8</v>
      </c>
      <c r="L27" s="46" t="s">
        <v>93</v>
      </c>
      <c r="M27" s="43">
        <f t="shared" si="2"/>
        <v>18</v>
      </c>
      <c r="N27" s="53" t="s">
        <v>129</v>
      </c>
      <c r="O27" s="41" t="s">
        <v>95</v>
      </c>
      <c r="P27" s="40" t="s">
        <v>130</v>
      </c>
      <c r="Q27" s="17" t="s">
        <v>131</v>
      </c>
    </row>
    <row r="28" spans="1:17" ht="18" customHeight="1" x14ac:dyDescent="0.2">
      <c r="A28" s="78" t="s">
        <v>207</v>
      </c>
      <c r="B28" s="78"/>
      <c r="C28" s="78"/>
      <c r="D28" s="87"/>
      <c r="E28" s="87"/>
      <c r="F28" s="94">
        <f>SUM(F29:F31)</f>
        <v>69</v>
      </c>
      <c r="G28" s="94">
        <f t="shared" ref="G28:L28" si="6">SUM(G29:G31)</f>
        <v>0</v>
      </c>
      <c r="H28" s="94">
        <f>SUM(H29:H31)</f>
        <v>69</v>
      </c>
      <c r="I28" s="94">
        <f t="shared" si="6"/>
        <v>69</v>
      </c>
      <c r="J28" s="94">
        <f t="shared" si="6"/>
        <v>0</v>
      </c>
      <c r="K28" s="94">
        <f t="shared" si="6"/>
        <v>83</v>
      </c>
      <c r="L28" s="94">
        <f t="shared" si="6"/>
        <v>69</v>
      </c>
      <c r="M28" s="103">
        <f>SUM(M29:M31)</f>
        <v>290</v>
      </c>
      <c r="N28" s="78"/>
      <c r="O28" s="78"/>
      <c r="P28" s="78"/>
      <c r="Q28" s="78"/>
    </row>
    <row r="29" spans="1:17" ht="18" customHeight="1" x14ac:dyDescent="0.2">
      <c r="A29" s="40">
        <v>21</v>
      </c>
      <c r="B29" s="54" t="s">
        <v>14</v>
      </c>
      <c r="C29" s="17" t="s">
        <v>214</v>
      </c>
      <c r="D29" s="83">
        <v>46340</v>
      </c>
      <c r="E29" s="83">
        <v>46351</v>
      </c>
      <c r="F29" s="42">
        <f t="shared" si="1"/>
        <v>8</v>
      </c>
      <c r="G29" s="46" t="s">
        <v>93</v>
      </c>
      <c r="H29" s="44">
        <f>F29</f>
        <v>8</v>
      </c>
      <c r="I29" s="45">
        <f>F29</f>
        <v>8</v>
      </c>
      <c r="J29" s="46" t="s">
        <v>93</v>
      </c>
      <c r="K29" s="42">
        <v>11</v>
      </c>
      <c r="L29" s="55">
        <f>F29</f>
        <v>8</v>
      </c>
      <c r="M29" s="43">
        <f t="shared" si="2"/>
        <v>35</v>
      </c>
      <c r="N29" s="47" t="s">
        <v>94</v>
      </c>
      <c r="O29" s="41" t="s">
        <v>95</v>
      </c>
      <c r="P29" s="40" t="s">
        <v>132</v>
      </c>
      <c r="Q29" s="17" t="s">
        <v>133</v>
      </c>
    </row>
    <row r="30" spans="1:17" ht="18" customHeight="1" x14ac:dyDescent="0.2">
      <c r="A30" s="40">
        <v>22</v>
      </c>
      <c r="B30" s="54" t="s">
        <v>14</v>
      </c>
      <c r="C30" s="17" t="s">
        <v>68</v>
      </c>
      <c r="D30" s="83">
        <v>46270</v>
      </c>
      <c r="E30" s="83">
        <v>46351</v>
      </c>
      <c r="F30" s="42">
        <f>NETWORKDAYS(D30,E30)</f>
        <v>58</v>
      </c>
      <c r="G30" s="46" t="s">
        <v>93</v>
      </c>
      <c r="H30" s="44">
        <f t="shared" ref="H30:H31" si="7">F30</f>
        <v>58</v>
      </c>
      <c r="I30" s="45">
        <f t="shared" ref="I30:I31" si="8">F30</f>
        <v>58</v>
      </c>
      <c r="J30" s="46" t="s">
        <v>93</v>
      </c>
      <c r="K30" s="42">
        <v>61</v>
      </c>
      <c r="L30" s="55">
        <f t="shared" ref="L30:L31" si="9">F30</f>
        <v>58</v>
      </c>
      <c r="M30" s="43">
        <f t="shared" si="2"/>
        <v>235</v>
      </c>
      <c r="N30" s="47" t="s">
        <v>94</v>
      </c>
      <c r="O30" s="41" t="s">
        <v>95</v>
      </c>
      <c r="P30" s="40" t="s">
        <v>134</v>
      </c>
      <c r="Q30" s="17" t="s">
        <v>135</v>
      </c>
    </row>
    <row r="31" spans="1:17" ht="18" customHeight="1" x14ac:dyDescent="0.2">
      <c r="A31" s="40">
        <v>23</v>
      </c>
      <c r="B31" s="54" t="s">
        <v>14</v>
      </c>
      <c r="C31" s="17" t="s">
        <v>69</v>
      </c>
      <c r="D31" s="83">
        <v>46352</v>
      </c>
      <c r="E31" s="83">
        <v>46356</v>
      </c>
      <c r="F31" s="42">
        <f t="shared" si="1"/>
        <v>3</v>
      </c>
      <c r="G31" s="46" t="s">
        <v>93</v>
      </c>
      <c r="H31" s="44">
        <f t="shared" si="7"/>
        <v>3</v>
      </c>
      <c r="I31" s="45">
        <f t="shared" si="8"/>
        <v>3</v>
      </c>
      <c r="J31" s="46" t="s">
        <v>93</v>
      </c>
      <c r="K31" s="42">
        <v>11</v>
      </c>
      <c r="L31" s="55">
        <f t="shared" si="9"/>
        <v>3</v>
      </c>
      <c r="M31" s="43">
        <f t="shared" si="2"/>
        <v>20</v>
      </c>
      <c r="N31" s="47" t="s">
        <v>94</v>
      </c>
      <c r="O31" s="41" t="s">
        <v>95</v>
      </c>
      <c r="P31" s="40" t="s">
        <v>136</v>
      </c>
      <c r="Q31" s="17" t="s">
        <v>137</v>
      </c>
    </row>
    <row r="32" spans="1:17" ht="18" customHeight="1" x14ac:dyDescent="0.2">
      <c r="A32" s="79" t="s">
        <v>208</v>
      </c>
      <c r="B32" s="79"/>
      <c r="C32" s="79"/>
      <c r="D32" s="88"/>
      <c r="E32" s="88"/>
      <c r="F32" s="95">
        <f>SUM(F33:F36)</f>
        <v>9</v>
      </c>
      <c r="G32" s="95">
        <f>SUM(G33:G36)</f>
        <v>4</v>
      </c>
      <c r="H32" s="95">
        <f>SUM(H33:H36)</f>
        <v>9</v>
      </c>
      <c r="I32" s="95">
        <f>SUM(I33:I36)</f>
        <v>9</v>
      </c>
      <c r="J32" s="95">
        <f>SUM(J33:J36)</f>
        <v>2</v>
      </c>
      <c r="K32" s="95">
        <f>SUM(K33:K36)</f>
        <v>5</v>
      </c>
      <c r="L32" s="95">
        <f>SUM(L33:L36)</f>
        <v>7</v>
      </c>
      <c r="M32" s="104">
        <f>SUM(M33:M36)</f>
        <v>36</v>
      </c>
      <c r="N32" s="79"/>
      <c r="O32" s="79"/>
      <c r="P32" s="79"/>
      <c r="Q32" s="79"/>
    </row>
    <row r="33" spans="1:17" ht="18" customHeight="1" x14ac:dyDescent="0.2">
      <c r="A33" s="40">
        <v>25</v>
      </c>
      <c r="B33" s="56" t="s">
        <v>16</v>
      </c>
      <c r="C33" s="17" t="s">
        <v>70</v>
      </c>
      <c r="D33" s="83">
        <v>46357</v>
      </c>
      <c r="E33" s="83">
        <v>46359</v>
      </c>
      <c r="F33" s="42">
        <f t="shared" si="1"/>
        <v>3</v>
      </c>
      <c r="G33" s="43">
        <v>1</v>
      </c>
      <c r="H33" s="44">
        <v>3</v>
      </c>
      <c r="I33" s="45">
        <v>3</v>
      </c>
      <c r="J33" s="50">
        <v>1</v>
      </c>
      <c r="K33" s="46" t="s">
        <v>93</v>
      </c>
      <c r="L33" s="55">
        <v>2</v>
      </c>
      <c r="M33" s="43">
        <f t="shared" si="2"/>
        <v>10</v>
      </c>
      <c r="N33" s="47" t="s">
        <v>94</v>
      </c>
      <c r="O33" s="41" t="s">
        <v>95</v>
      </c>
      <c r="P33" s="40" t="s">
        <v>138</v>
      </c>
      <c r="Q33" s="17" t="s">
        <v>139</v>
      </c>
    </row>
    <row r="34" spans="1:17" ht="18" customHeight="1" x14ac:dyDescent="0.2">
      <c r="A34" s="40">
        <v>26</v>
      </c>
      <c r="B34" s="56" t="s">
        <v>16</v>
      </c>
      <c r="C34" s="17" t="s">
        <v>71</v>
      </c>
      <c r="D34" s="83">
        <v>46360</v>
      </c>
      <c r="E34" s="83">
        <v>46360</v>
      </c>
      <c r="F34" s="42">
        <f t="shared" si="1"/>
        <v>1</v>
      </c>
      <c r="G34" s="43">
        <v>1</v>
      </c>
      <c r="H34" s="44">
        <v>1</v>
      </c>
      <c r="I34" s="45">
        <v>1</v>
      </c>
      <c r="J34" s="50">
        <v>1</v>
      </c>
      <c r="K34" s="42">
        <v>1</v>
      </c>
      <c r="L34" s="55">
        <v>1</v>
      </c>
      <c r="M34" s="43">
        <f t="shared" si="2"/>
        <v>6</v>
      </c>
      <c r="N34" s="51" t="s">
        <v>107</v>
      </c>
      <c r="O34" s="41" t="s">
        <v>95</v>
      </c>
      <c r="P34" s="40" t="s">
        <v>140</v>
      </c>
      <c r="Q34" s="17" t="s">
        <v>141</v>
      </c>
    </row>
    <row r="35" spans="1:17" ht="18" customHeight="1" x14ac:dyDescent="0.2">
      <c r="A35" s="40">
        <v>27</v>
      </c>
      <c r="B35" s="56" t="s">
        <v>16</v>
      </c>
      <c r="C35" s="17" t="s">
        <v>72</v>
      </c>
      <c r="D35" s="83">
        <v>46364</v>
      </c>
      <c r="E35" s="83">
        <v>46367</v>
      </c>
      <c r="F35" s="42">
        <f t="shared" si="1"/>
        <v>4</v>
      </c>
      <c r="G35" s="43">
        <v>1</v>
      </c>
      <c r="H35" s="44">
        <v>4</v>
      </c>
      <c r="I35" s="45">
        <v>4</v>
      </c>
      <c r="J35" s="46" t="s">
        <v>93</v>
      </c>
      <c r="K35" s="42">
        <v>4</v>
      </c>
      <c r="L35" s="55">
        <v>4</v>
      </c>
      <c r="M35" s="43">
        <f t="shared" si="2"/>
        <v>17</v>
      </c>
      <c r="N35" s="47" t="s">
        <v>94</v>
      </c>
      <c r="O35" s="41" t="s">
        <v>95</v>
      </c>
      <c r="P35" s="40" t="s">
        <v>142</v>
      </c>
      <c r="Q35" s="17" t="s">
        <v>143</v>
      </c>
    </row>
    <row r="36" spans="1:17" ht="18" customHeight="1" x14ac:dyDescent="0.2">
      <c r="A36" s="40">
        <v>28</v>
      </c>
      <c r="B36" s="56" t="s">
        <v>16</v>
      </c>
      <c r="C36" s="17" t="s">
        <v>73</v>
      </c>
      <c r="D36" s="83">
        <v>46370</v>
      </c>
      <c r="E36" s="83">
        <v>46370</v>
      </c>
      <c r="F36" s="42">
        <f t="shared" si="1"/>
        <v>1</v>
      </c>
      <c r="G36" s="43">
        <v>1</v>
      </c>
      <c r="H36" s="44">
        <v>1</v>
      </c>
      <c r="I36" s="45">
        <v>1</v>
      </c>
      <c r="J36" s="46" t="s">
        <v>93</v>
      </c>
      <c r="K36" s="46" t="s">
        <v>93</v>
      </c>
      <c r="L36" s="46" t="s">
        <v>93</v>
      </c>
      <c r="M36" s="43">
        <f t="shared" si="2"/>
        <v>3</v>
      </c>
      <c r="N36" s="51" t="s">
        <v>107</v>
      </c>
      <c r="O36" s="41" t="s">
        <v>95</v>
      </c>
      <c r="P36" s="40" t="s">
        <v>144</v>
      </c>
      <c r="Q36" s="17" t="s">
        <v>145</v>
      </c>
    </row>
    <row r="37" spans="1:17" ht="18" customHeight="1" x14ac:dyDescent="0.2">
      <c r="A37" s="80" t="s">
        <v>209</v>
      </c>
      <c r="B37" s="80"/>
      <c r="C37" s="80"/>
      <c r="D37" s="89"/>
      <c r="E37" s="89"/>
      <c r="F37" s="96">
        <f>SUM(F38:F43)</f>
        <v>30</v>
      </c>
      <c r="G37" s="96">
        <f t="shared" ref="G37:L37" si="10">SUM(G38:G43)</f>
        <v>14</v>
      </c>
      <c r="H37" s="96">
        <f t="shared" si="10"/>
        <v>28</v>
      </c>
      <c r="I37" s="96">
        <f t="shared" si="10"/>
        <v>27</v>
      </c>
      <c r="J37" s="96">
        <f t="shared" si="10"/>
        <v>12</v>
      </c>
      <c r="K37" s="96">
        <f t="shared" si="10"/>
        <v>13</v>
      </c>
      <c r="L37" s="96">
        <f t="shared" si="10"/>
        <v>13</v>
      </c>
      <c r="M37" s="105">
        <f>SUM(M38:M43)</f>
        <v>107</v>
      </c>
      <c r="N37" s="80"/>
      <c r="O37" s="80"/>
      <c r="P37" s="80"/>
      <c r="Q37" s="80"/>
    </row>
    <row r="38" spans="1:17" ht="18" customHeight="1" x14ac:dyDescent="0.2">
      <c r="A38" s="40">
        <v>30</v>
      </c>
      <c r="B38" s="57" t="s">
        <v>18</v>
      </c>
      <c r="C38" s="17" t="s">
        <v>74</v>
      </c>
      <c r="D38" s="83">
        <v>46371</v>
      </c>
      <c r="E38" s="83">
        <v>46374</v>
      </c>
      <c r="F38" s="42">
        <f t="shared" si="1"/>
        <v>4</v>
      </c>
      <c r="G38" s="43">
        <v>1</v>
      </c>
      <c r="H38" s="44">
        <v>4</v>
      </c>
      <c r="I38" s="45">
        <v>4</v>
      </c>
      <c r="J38" s="50">
        <v>1</v>
      </c>
      <c r="K38" s="46" t="s">
        <v>93</v>
      </c>
      <c r="L38" s="46" t="s">
        <v>93</v>
      </c>
      <c r="M38" s="43">
        <f t="shared" si="2"/>
        <v>10</v>
      </c>
      <c r="N38" s="47" t="s">
        <v>94</v>
      </c>
      <c r="O38" s="41" t="s">
        <v>95</v>
      </c>
      <c r="P38" s="40" t="s">
        <v>138</v>
      </c>
      <c r="Q38" s="17" t="s">
        <v>146</v>
      </c>
    </row>
    <row r="39" spans="1:17" ht="18" customHeight="1" x14ac:dyDescent="0.2">
      <c r="A39" s="40">
        <v>31</v>
      </c>
      <c r="B39" s="57" t="s">
        <v>18</v>
      </c>
      <c r="C39" s="17" t="s">
        <v>213</v>
      </c>
      <c r="D39" s="83">
        <v>46377</v>
      </c>
      <c r="E39" s="83">
        <v>46391</v>
      </c>
      <c r="F39" s="42">
        <f t="shared" si="1"/>
        <v>11</v>
      </c>
      <c r="G39" s="43">
        <v>1</v>
      </c>
      <c r="H39" s="44">
        <v>11</v>
      </c>
      <c r="I39" s="45">
        <v>11</v>
      </c>
      <c r="J39" s="50">
        <v>11</v>
      </c>
      <c r="K39" s="46" t="s">
        <v>93</v>
      </c>
      <c r="L39" s="46" t="s">
        <v>93</v>
      </c>
      <c r="M39" s="43">
        <f t="shared" si="2"/>
        <v>34</v>
      </c>
      <c r="N39" s="47"/>
      <c r="O39" s="41"/>
      <c r="P39" s="40"/>
      <c r="Q39" s="17"/>
    </row>
    <row r="40" spans="1:17" ht="18" customHeight="1" x14ac:dyDescent="0.2">
      <c r="A40" s="40">
        <v>32</v>
      </c>
      <c r="B40" s="57" t="s">
        <v>18</v>
      </c>
      <c r="C40" s="17" t="s">
        <v>75</v>
      </c>
      <c r="D40" s="83">
        <v>46391</v>
      </c>
      <c r="E40" s="83">
        <v>46391</v>
      </c>
      <c r="F40" s="42">
        <f t="shared" si="1"/>
        <v>1</v>
      </c>
      <c r="G40" s="46" t="s">
        <v>93</v>
      </c>
      <c r="H40" s="44">
        <v>1</v>
      </c>
      <c r="I40" s="46" t="s">
        <v>93</v>
      </c>
      <c r="J40" s="46" t="s">
        <v>93</v>
      </c>
      <c r="K40" s="46" t="s">
        <v>93</v>
      </c>
      <c r="L40" s="46" t="s">
        <v>93</v>
      </c>
      <c r="M40" s="43">
        <f t="shared" si="2"/>
        <v>1</v>
      </c>
      <c r="N40" s="47" t="s">
        <v>94</v>
      </c>
      <c r="O40" s="41" t="s">
        <v>95</v>
      </c>
      <c r="P40" s="40" t="s">
        <v>147</v>
      </c>
      <c r="Q40" s="17" t="s">
        <v>148</v>
      </c>
    </row>
    <row r="41" spans="1:17" ht="18" customHeight="1" x14ac:dyDescent="0.2">
      <c r="A41" s="40">
        <v>33</v>
      </c>
      <c r="B41" s="57" t="s">
        <v>18</v>
      </c>
      <c r="C41" s="17" t="s">
        <v>76</v>
      </c>
      <c r="D41" s="83">
        <v>46392</v>
      </c>
      <c r="E41" s="83">
        <v>46392</v>
      </c>
      <c r="F41" s="42">
        <f t="shared" si="1"/>
        <v>1</v>
      </c>
      <c r="G41" s="43">
        <v>2</v>
      </c>
      <c r="H41" s="44">
        <v>2</v>
      </c>
      <c r="I41" s="45">
        <v>2</v>
      </c>
      <c r="J41" s="46" t="s">
        <v>93</v>
      </c>
      <c r="K41" s="46" t="s">
        <v>93</v>
      </c>
      <c r="L41" s="46" t="s">
        <v>93</v>
      </c>
      <c r="M41" s="43">
        <f t="shared" si="2"/>
        <v>6</v>
      </c>
      <c r="N41" s="47" t="s">
        <v>94</v>
      </c>
      <c r="O41" s="41" t="s">
        <v>95</v>
      </c>
      <c r="P41" s="40" t="s">
        <v>149</v>
      </c>
      <c r="Q41" s="17" t="s">
        <v>150</v>
      </c>
    </row>
    <row r="42" spans="1:17" ht="18" customHeight="1" x14ac:dyDescent="0.2">
      <c r="A42" s="40">
        <v>34</v>
      </c>
      <c r="B42" s="57" t="s">
        <v>18</v>
      </c>
      <c r="C42" s="17" t="s">
        <v>77</v>
      </c>
      <c r="D42" s="83">
        <v>46393</v>
      </c>
      <c r="E42" s="83">
        <v>46395</v>
      </c>
      <c r="F42" s="42">
        <f t="shared" si="1"/>
        <v>3</v>
      </c>
      <c r="G42" s="46" t="s">
        <v>93</v>
      </c>
      <c r="H42" s="46" t="s">
        <v>93</v>
      </c>
      <c r="I42" s="46" t="s">
        <v>93</v>
      </c>
      <c r="J42" s="46" t="s">
        <v>93</v>
      </c>
      <c r="K42" s="42">
        <v>3</v>
      </c>
      <c r="L42" s="55">
        <v>3</v>
      </c>
      <c r="M42" s="43">
        <f t="shared" si="2"/>
        <v>6</v>
      </c>
      <c r="N42" s="51" t="s">
        <v>107</v>
      </c>
      <c r="O42" s="41" t="s">
        <v>95</v>
      </c>
      <c r="P42" s="40" t="s">
        <v>151</v>
      </c>
      <c r="Q42" s="17" t="s">
        <v>152</v>
      </c>
    </row>
    <row r="43" spans="1:17" ht="18" customHeight="1" x14ac:dyDescent="0.2">
      <c r="A43" s="40">
        <v>35</v>
      </c>
      <c r="B43" s="57" t="s">
        <v>18</v>
      </c>
      <c r="C43" s="17" t="s">
        <v>78</v>
      </c>
      <c r="D43" s="83">
        <v>46398</v>
      </c>
      <c r="E43" s="83">
        <v>46409</v>
      </c>
      <c r="F43" s="42">
        <f>NETWORKDAYS(D43,E43)</f>
        <v>10</v>
      </c>
      <c r="G43" s="43">
        <v>10</v>
      </c>
      <c r="H43" s="44">
        <v>10</v>
      </c>
      <c r="I43" s="45">
        <v>10</v>
      </c>
      <c r="J43" s="46" t="s">
        <v>93</v>
      </c>
      <c r="K43" s="42">
        <v>10</v>
      </c>
      <c r="L43" s="55">
        <v>10</v>
      </c>
      <c r="M43" s="43">
        <f t="shared" si="2"/>
        <v>50</v>
      </c>
      <c r="N43" s="51" t="s">
        <v>107</v>
      </c>
      <c r="O43" s="41" t="s">
        <v>95</v>
      </c>
      <c r="P43" s="40" t="s">
        <v>153</v>
      </c>
      <c r="Q43" s="17" t="s">
        <v>154</v>
      </c>
    </row>
    <row r="44" spans="1:17" ht="24" customHeight="1" x14ac:dyDescent="0.2">
      <c r="A44" s="8" t="s">
        <v>155</v>
      </c>
      <c r="B44" s="81"/>
      <c r="C44" s="81"/>
      <c r="D44" s="81"/>
      <c r="E44" s="82"/>
      <c r="F44" s="106">
        <f>SUM(F5,F7,F13,F18,F32,F37,F31)</f>
        <v>174</v>
      </c>
      <c r="G44" s="98">
        <f>SUM(G6,G8:G12,G14:G17,G19:G27,G29:G31,G33:G36,G38:G43)</f>
        <v>24</v>
      </c>
      <c r="H44" s="98">
        <f>SUM(H6,H8:H12,H14:H17,H19:H27,H29:H31,H33:H36,H38:H43)</f>
        <v>200</v>
      </c>
      <c r="I44" s="98">
        <f t="shared" ref="H44:L44" si="11">SUM(I6,I8:I12,I14:I17,I19:I27,I29:I31,I33:I36,I38:I43)</f>
        <v>135</v>
      </c>
      <c r="J44" s="98">
        <f t="shared" si="11"/>
        <v>45</v>
      </c>
      <c r="K44" s="98">
        <f t="shared" si="11"/>
        <v>184</v>
      </c>
      <c r="L44" s="98">
        <f t="shared" si="11"/>
        <v>89</v>
      </c>
      <c r="M44" s="98">
        <f>SUM(M38:M43,M33:M36,M29:M31,M19:M27,M14:M17,M8:M12,M6)</f>
        <v>677</v>
      </c>
      <c r="N44" s="12"/>
      <c r="O44" s="12"/>
      <c r="P44" s="12"/>
      <c r="Q44" s="12"/>
    </row>
    <row r="45" spans="1:17" x14ac:dyDescent="0.2">
      <c r="A45" s="12"/>
      <c r="B45" s="12"/>
      <c r="C45" s="12"/>
      <c r="D45" s="12"/>
      <c r="E45" s="12"/>
      <c r="F45" s="97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spans="1:17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spans="1:17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spans="1:17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1:17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spans="1:17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spans="1:17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spans="1:17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spans="1:17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spans="1:17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 spans="1:17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spans="1:17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spans="1:17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spans="1:17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 spans="1:17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 spans="1:17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 spans="1:17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 spans="1:17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 spans="1:17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spans="1:17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spans="1:17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spans="1:17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spans="1:17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spans="1:17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spans="1:17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spans="1:17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spans="1:17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spans="1:17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spans="1:17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spans="1:17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spans="1:17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spans="1:17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 spans="1:17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 spans="1:17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 spans="1:17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 spans="1:17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 spans="1:17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 spans="1:17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 spans="1:17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 spans="1:17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 spans="1:17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 spans="1:17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 spans="1:17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 spans="1:17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 spans="1:17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 spans="1:17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 spans="1:17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 spans="1:17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 spans="1:17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 spans="1:17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 spans="1:17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 spans="1:17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 spans="1:17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 spans="1:17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 spans="1:17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 spans="1:17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 spans="1:17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 spans="1:17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 spans="1:17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 spans="1:17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 spans="1:17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 spans="1:17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 spans="1:17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 spans="1:17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 spans="1:17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 spans="1:17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 spans="1:17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 spans="1:17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 spans="1:17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 spans="1:17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 spans="1:17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 spans="1:17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 spans="1:17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 spans="1:17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</sheetData>
  <mergeCells count="3">
    <mergeCell ref="A44:E44"/>
    <mergeCell ref="A1:Q1"/>
    <mergeCell ref="A2:Q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6E56"/>
  </sheetPr>
  <dimension ref="A1:H14"/>
  <sheetViews>
    <sheetView showGridLines="0" zoomScaleNormal="100" workbookViewId="0">
      <selection activeCell="D7" sqref="D7"/>
    </sheetView>
  </sheetViews>
  <sheetFormatPr baseColWidth="10" defaultColWidth="8.6640625" defaultRowHeight="15" x14ac:dyDescent="0.2"/>
  <cols>
    <col min="1" max="1" width="7" customWidth="1"/>
    <col min="2" max="2" width="22" customWidth="1"/>
    <col min="3" max="3" width="14" customWidth="1"/>
    <col min="4" max="4" width="55" customWidth="1"/>
    <col min="5" max="5" width="20" customWidth="1"/>
    <col min="6" max="6" width="38" customWidth="1"/>
    <col min="7" max="7" width="12" customWidth="1"/>
  </cols>
  <sheetData>
    <row r="1" spans="1:8" ht="25.5" customHeight="1" x14ac:dyDescent="0.2">
      <c r="A1" s="72" t="s">
        <v>156</v>
      </c>
      <c r="B1" s="72"/>
      <c r="C1" s="72"/>
      <c r="D1" s="72"/>
      <c r="E1" s="72"/>
      <c r="F1" s="72"/>
      <c r="G1" s="72"/>
      <c r="H1" s="72"/>
    </row>
    <row r="2" spans="1:8" ht="9.75" customHeight="1" x14ac:dyDescent="0.2">
      <c r="A2" s="12"/>
      <c r="B2" s="12"/>
      <c r="C2" s="12"/>
      <c r="D2" s="12"/>
      <c r="E2" s="12"/>
      <c r="F2" s="12"/>
      <c r="G2" s="12"/>
      <c r="H2" s="12"/>
    </row>
    <row r="3" spans="1:8" ht="24" customHeight="1" x14ac:dyDescent="0.2">
      <c r="A3" s="13" t="s">
        <v>157</v>
      </c>
      <c r="B3" s="13" t="s">
        <v>158</v>
      </c>
      <c r="C3" s="13" t="s">
        <v>159</v>
      </c>
      <c r="D3" s="13" t="s">
        <v>160</v>
      </c>
      <c r="E3" s="13" t="s">
        <v>161</v>
      </c>
      <c r="F3" s="13" t="s">
        <v>162</v>
      </c>
      <c r="G3" s="13" t="s">
        <v>163</v>
      </c>
      <c r="H3" s="12"/>
    </row>
    <row r="4" spans="1:8" ht="75" customHeight="1" x14ac:dyDescent="0.2">
      <c r="A4" s="60">
        <v>1</v>
      </c>
      <c r="B4" s="61" t="s">
        <v>164</v>
      </c>
      <c r="C4" s="147">
        <f>'Detailed Task Plan'!E6</f>
        <v>46178</v>
      </c>
      <c r="D4" s="17" t="s">
        <v>165</v>
      </c>
      <c r="E4" s="15" t="s">
        <v>26</v>
      </c>
      <c r="F4" s="17" t="s">
        <v>166</v>
      </c>
      <c r="G4" s="32" t="s">
        <v>95</v>
      </c>
      <c r="H4" s="12"/>
    </row>
    <row r="5" spans="1:8" ht="75" customHeight="1" x14ac:dyDescent="0.2">
      <c r="A5" s="62">
        <v>2</v>
      </c>
      <c r="B5" s="63" t="s">
        <v>167</v>
      </c>
      <c r="C5" s="147">
        <f>'Gantt Chart'!E16</f>
        <v>46234</v>
      </c>
      <c r="D5" s="17" t="s">
        <v>168</v>
      </c>
      <c r="E5" s="15" t="s">
        <v>169</v>
      </c>
      <c r="F5" s="17" t="s">
        <v>170</v>
      </c>
      <c r="G5" s="32" t="s">
        <v>95</v>
      </c>
      <c r="H5" s="12"/>
    </row>
    <row r="6" spans="1:8" ht="75" customHeight="1" x14ac:dyDescent="0.2">
      <c r="A6" s="64">
        <v>3</v>
      </c>
      <c r="B6" s="65" t="s">
        <v>171</v>
      </c>
      <c r="C6" s="147">
        <f>'Detailed Task Plan'!E31</f>
        <v>46356</v>
      </c>
      <c r="D6" s="17" t="s">
        <v>241</v>
      </c>
      <c r="E6" s="15" t="s">
        <v>172</v>
      </c>
      <c r="F6" s="17" t="s">
        <v>173</v>
      </c>
      <c r="G6" s="32" t="s">
        <v>95</v>
      </c>
      <c r="H6" s="12"/>
    </row>
    <row r="7" spans="1:8" ht="75" customHeight="1" x14ac:dyDescent="0.2">
      <c r="A7" s="66">
        <v>4</v>
      </c>
      <c r="B7" s="67" t="s">
        <v>73</v>
      </c>
      <c r="C7" s="147">
        <f>'Detailed Task Plan'!E36</f>
        <v>46370</v>
      </c>
      <c r="D7" s="17" t="s">
        <v>174</v>
      </c>
      <c r="E7" s="15" t="s">
        <v>175</v>
      </c>
      <c r="F7" s="17" t="s">
        <v>176</v>
      </c>
      <c r="G7" s="32" t="s">
        <v>95</v>
      </c>
      <c r="H7" s="12"/>
    </row>
    <row r="8" spans="1:8" ht="75" customHeight="1" x14ac:dyDescent="0.2">
      <c r="A8" s="68">
        <v>5</v>
      </c>
      <c r="B8" s="69" t="s">
        <v>18</v>
      </c>
      <c r="C8" s="147">
        <f>'Gantt Chart'!E42</f>
        <v>46409</v>
      </c>
      <c r="D8" s="17" t="s">
        <v>240</v>
      </c>
      <c r="E8" s="15" t="s">
        <v>177</v>
      </c>
      <c r="F8" s="17" t="s">
        <v>178</v>
      </c>
      <c r="G8" s="32" t="s">
        <v>95</v>
      </c>
      <c r="H8" s="12"/>
    </row>
    <row r="9" spans="1:8" x14ac:dyDescent="0.2">
      <c r="A9" s="12"/>
      <c r="B9" s="12"/>
      <c r="C9" s="12"/>
      <c r="D9" s="12"/>
      <c r="E9" s="12"/>
      <c r="F9" s="12"/>
      <c r="G9" s="12"/>
      <c r="H9" s="12"/>
    </row>
    <row r="10" spans="1:8" x14ac:dyDescent="0.2">
      <c r="A10" s="12"/>
      <c r="B10" s="12"/>
      <c r="C10" s="12"/>
      <c r="D10" s="12"/>
      <c r="E10" s="12"/>
      <c r="F10" s="12"/>
      <c r="G10" s="12"/>
      <c r="H10" s="12"/>
    </row>
    <row r="11" spans="1:8" x14ac:dyDescent="0.2">
      <c r="A11" s="12"/>
      <c r="B11" s="12"/>
      <c r="C11" s="12"/>
      <c r="D11" s="12"/>
      <c r="E11" s="12"/>
      <c r="F11" s="12"/>
      <c r="G11" s="12"/>
      <c r="H11" s="12"/>
    </row>
    <row r="12" spans="1:8" x14ac:dyDescent="0.2">
      <c r="A12" s="12"/>
      <c r="B12" s="12"/>
      <c r="C12" s="12"/>
      <c r="D12" s="12"/>
      <c r="E12" s="12"/>
      <c r="F12" s="12"/>
      <c r="G12" s="12"/>
      <c r="H12" s="12"/>
    </row>
    <row r="13" spans="1:8" x14ac:dyDescent="0.2">
      <c r="A13" s="12"/>
      <c r="B13" s="12"/>
      <c r="C13" s="12"/>
      <c r="D13" s="12"/>
      <c r="E13" s="12"/>
      <c r="F13" s="12"/>
      <c r="G13" s="12"/>
      <c r="H13" s="12"/>
    </row>
    <row r="14" spans="1:8" x14ac:dyDescent="0.2">
      <c r="A14" s="12"/>
      <c r="B14" s="12"/>
      <c r="C14" s="12"/>
      <c r="D14" s="12"/>
      <c r="E14" s="12"/>
      <c r="F14" s="12"/>
      <c r="G14" s="12"/>
      <c r="H14" s="12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32D2D"/>
  </sheetPr>
  <dimension ref="A1:I16"/>
  <sheetViews>
    <sheetView showGridLines="0" tabSelected="1" zoomScale="139" zoomScaleNormal="100" workbookViewId="0">
      <selection activeCell="G7" sqref="G7"/>
    </sheetView>
  </sheetViews>
  <sheetFormatPr baseColWidth="10" defaultColWidth="8.6640625" defaultRowHeight="15" x14ac:dyDescent="0.2"/>
  <cols>
    <col min="1" max="1" width="5" customWidth="1"/>
    <col min="2" max="2" width="40" customWidth="1"/>
    <col min="3" max="3" width="16" customWidth="1"/>
    <col min="4" max="4" width="10" customWidth="1"/>
    <col min="5" max="6" width="12" customWidth="1"/>
    <col min="7" max="7" width="44" customWidth="1"/>
    <col min="8" max="8" width="14" customWidth="1"/>
    <col min="9" max="9" width="12" customWidth="1"/>
  </cols>
  <sheetData>
    <row r="1" spans="1:9" ht="25.5" customHeight="1" x14ac:dyDescent="0.2">
      <c r="A1" s="72" t="s">
        <v>179</v>
      </c>
      <c r="B1" s="72"/>
      <c r="C1" s="72"/>
      <c r="D1" s="72"/>
      <c r="E1" s="72"/>
      <c r="F1" s="72"/>
      <c r="G1" s="72"/>
      <c r="H1" s="72"/>
      <c r="I1" s="72"/>
    </row>
    <row r="2" spans="1:9" ht="9.75" customHeight="1" x14ac:dyDescent="0.2">
      <c r="A2" s="12"/>
      <c r="B2" s="12"/>
      <c r="C2" s="12"/>
      <c r="D2" s="12"/>
      <c r="E2" s="12"/>
      <c r="F2" s="12"/>
      <c r="G2" s="12"/>
      <c r="H2" s="12"/>
      <c r="I2" s="12"/>
    </row>
    <row r="3" spans="1:9" ht="21.75" customHeight="1" x14ac:dyDescent="0.2">
      <c r="A3" s="13" t="s">
        <v>50</v>
      </c>
      <c r="B3" s="13" t="s">
        <v>180</v>
      </c>
      <c r="C3" s="13" t="s">
        <v>2</v>
      </c>
      <c r="D3" s="13" t="s">
        <v>181</v>
      </c>
      <c r="E3" s="13" t="s">
        <v>182</v>
      </c>
      <c r="F3" s="13" t="s">
        <v>183</v>
      </c>
      <c r="G3" s="13" t="s">
        <v>184</v>
      </c>
      <c r="H3" s="13" t="s">
        <v>185</v>
      </c>
      <c r="I3" s="13" t="s">
        <v>163</v>
      </c>
    </row>
    <row r="4" spans="1:9" ht="37.5" customHeight="1" x14ac:dyDescent="0.2">
      <c r="A4" s="70">
        <v>1</v>
      </c>
      <c r="B4" s="17" t="s">
        <v>242</v>
      </c>
      <c r="C4" s="32" t="s">
        <v>186</v>
      </c>
      <c r="D4" s="15" t="s">
        <v>187</v>
      </c>
      <c r="E4" s="15" t="s">
        <v>187</v>
      </c>
      <c r="F4" s="59" t="s">
        <v>188</v>
      </c>
      <c r="G4" s="17" t="s">
        <v>189</v>
      </c>
      <c r="H4" s="15" t="s">
        <v>26</v>
      </c>
      <c r="I4" s="71" t="s">
        <v>190</v>
      </c>
    </row>
    <row r="5" spans="1:9" ht="37.5" customHeight="1" x14ac:dyDescent="0.2">
      <c r="A5" s="70">
        <v>2</v>
      </c>
      <c r="B5" s="17" t="s">
        <v>243</v>
      </c>
      <c r="C5" s="32" t="s">
        <v>42</v>
      </c>
      <c r="D5" s="15" t="s">
        <v>191</v>
      </c>
      <c r="E5" s="15" t="s">
        <v>187</v>
      </c>
      <c r="F5" s="59" t="s">
        <v>188</v>
      </c>
      <c r="G5" s="17" t="s">
        <v>192</v>
      </c>
      <c r="H5" s="15" t="s">
        <v>193</v>
      </c>
      <c r="I5" s="71" t="s">
        <v>190</v>
      </c>
    </row>
    <row r="6" spans="1:9" ht="91" x14ac:dyDescent="0.2">
      <c r="A6" s="70">
        <v>3</v>
      </c>
      <c r="B6" s="17" t="s">
        <v>245</v>
      </c>
      <c r="C6" s="32" t="s">
        <v>42</v>
      </c>
      <c r="D6" s="15" t="s">
        <v>187</v>
      </c>
      <c r="E6" s="15" t="s">
        <v>191</v>
      </c>
      <c r="F6" s="59" t="s">
        <v>188</v>
      </c>
      <c r="G6" s="17" t="s">
        <v>246</v>
      </c>
      <c r="H6" s="15" t="s">
        <v>247</v>
      </c>
      <c r="I6" s="71" t="s">
        <v>190</v>
      </c>
    </row>
    <row r="7" spans="1:9" ht="37.5" customHeight="1" x14ac:dyDescent="0.2">
      <c r="A7" s="70">
        <v>4</v>
      </c>
      <c r="B7" s="17" t="s">
        <v>194</v>
      </c>
      <c r="C7" s="32" t="s">
        <v>42</v>
      </c>
      <c r="D7" s="15" t="s">
        <v>191</v>
      </c>
      <c r="E7" s="15" t="s">
        <v>187</v>
      </c>
      <c r="F7" s="59" t="s">
        <v>188</v>
      </c>
      <c r="G7" s="17" t="s">
        <v>195</v>
      </c>
      <c r="H7" s="15" t="s">
        <v>26</v>
      </c>
      <c r="I7" s="71" t="s">
        <v>190</v>
      </c>
    </row>
    <row r="8" spans="1:9" ht="37.5" customHeight="1" x14ac:dyDescent="0.2">
      <c r="A8" s="70">
        <v>5</v>
      </c>
      <c r="B8" s="17" t="s">
        <v>218</v>
      </c>
      <c r="C8" s="32" t="s">
        <v>42</v>
      </c>
      <c r="D8" s="15" t="s">
        <v>187</v>
      </c>
      <c r="E8" s="15" t="s">
        <v>191</v>
      </c>
      <c r="F8" s="59" t="s">
        <v>188</v>
      </c>
      <c r="G8" s="17" t="s">
        <v>248</v>
      </c>
      <c r="H8" s="15" t="s">
        <v>196</v>
      </c>
      <c r="I8" s="71" t="s">
        <v>190</v>
      </c>
    </row>
    <row r="9" spans="1:9" ht="37.5" customHeight="1" x14ac:dyDescent="0.2">
      <c r="A9" s="70">
        <v>7</v>
      </c>
      <c r="B9" s="17" t="s">
        <v>244</v>
      </c>
      <c r="C9" s="38" t="s">
        <v>16</v>
      </c>
      <c r="D9" s="15" t="s">
        <v>191</v>
      </c>
      <c r="E9" s="15" t="s">
        <v>187</v>
      </c>
      <c r="F9" s="59" t="s">
        <v>188</v>
      </c>
      <c r="G9" s="17" t="s">
        <v>249</v>
      </c>
      <c r="H9" s="15" t="s">
        <v>198</v>
      </c>
      <c r="I9" s="71" t="s">
        <v>190</v>
      </c>
    </row>
    <row r="10" spans="1:9" ht="37.5" customHeight="1" x14ac:dyDescent="0.2">
      <c r="A10" s="70">
        <v>8</v>
      </c>
      <c r="B10" s="17" t="s">
        <v>199</v>
      </c>
      <c r="C10" s="39" t="s">
        <v>18</v>
      </c>
      <c r="D10" s="15" t="s">
        <v>200</v>
      </c>
      <c r="E10" s="15" t="s">
        <v>187</v>
      </c>
      <c r="F10" s="58" t="s">
        <v>197</v>
      </c>
      <c r="G10" s="17" t="s">
        <v>250</v>
      </c>
      <c r="H10" s="15" t="s">
        <v>201</v>
      </c>
      <c r="I10" s="71" t="s">
        <v>190</v>
      </c>
    </row>
    <row r="11" spans="1:9" ht="52" x14ac:dyDescent="0.2">
      <c r="A11" s="70">
        <v>9</v>
      </c>
      <c r="B11" s="17" t="s">
        <v>202</v>
      </c>
      <c r="C11" s="38" t="s">
        <v>16</v>
      </c>
      <c r="D11" s="15" t="s">
        <v>191</v>
      </c>
      <c r="E11" s="15" t="s">
        <v>187</v>
      </c>
      <c r="F11" s="59" t="s">
        <v>188</v>
      </c>
      <c r="G11" s="17" t="s">
        <v>251</v>
      </c>
      <c r="H11" s="15" t="s">
        <v>252</v>
      </c>
      <c r="I11" s="71" t="s">
        <v>190</v>
      </c>
    </row>
    <row r="12" spans="1:9" x14ac:dyDescent="0.2">
      <c r="A12" s="12"/>
      <c r="B12" s="12"/>
      <c r="C12" s="12"/>
      <c r="D12" s="12"/>
      <c r="E12" s="12"/>
      <c r="F12" s="12"/>
      <c r="G12" s="12"/>
      <c r="H12" s="12"/>
      <c r="I12" s="12"/>
    </row>
    <row r="13" spans="1:9" x14ac:dyDescent="0.2">
      <c r="A13" s="12"/>
      <c r="B13" s="12"/>
      <c r="C13" s="12"/>
      <c r="D13" s="12"/>
      <c r="E13" s="12"/>
      <c r="F13" s="12"/>
      <c r="G13" s="12"/>
      <c r="H13" s="12"/>
      <c r="I13" s="12"/>
    </row>
    <row r="14" spans="1:9" x14ac:dyDescent="0.2">
      <c r="A14" s="12"/>
      <c r="B14" s="12"/>
      <c r="C14" s="12"/>
      <c r="D14" s="12"/>
      <c r="E14" s="12"/>
      <c r="F14" s="12"/>
      <c r="G14" s="12"/>
      <c r="H14" s="12"/>
      <c r="I14" s="12"/>
    </row>
    <row r="15" spans="1:9" x14ac:dyDescent="0.2">
      <c r="A15" s="12"/>
      <c r="B15" s="12"/>
      <c r="C15" s="12"/>
      <c r="D15" s="12"/>
      <c r="E15" s="12"/>
      <c r="F15" s="12"/>
      <c r="G15" s="12"/>
      <c r="H15" s="12"/>
      <c r="I15" s="12"/>
    </row>
    <row r="16" spans="1:9" x14ac:dyDescent="0.2">
      <c r="A16" s="12"/>
      <c r="B16" s="12"/>
      <c r="C16" s="12"/>
      <c r="D16" s="12"/>
      <c r="E16" s="12"/>
      <c r="F16" s="12"/>
      <c r="G16" s="12"/>
      <c r="H16" s="12"/>
      <c r="I16" s="12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Overview</vt:lpstr>
      <vt:lpstr>Gantt Chart</vt:lpstr>
      <vt:lpstr>Detailed Task Plan</vt:lpstr>
      <vt:lpstr>Deliverables &amp; Milestones</vt:lpstr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Sujittra Pankaraket</cp:lastModifiedBy>
  <cp:revision>0</cp:revision>
  <dcterms:created xsi:type="dcterms:W3CDTF">2026-04-25T08:45:17Z</dcterms:created>
  <dcterms:modified xsi:type="dcterms:W3CDTF">2026-04-25T13:21:27Z</dcterms:modified>
  <dc:language>en-US</dc:language>
</cp:coreProperties>
</file>